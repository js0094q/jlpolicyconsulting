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00" windowWidth="34200" windowHeight="19820" tabRatio="600" firstSheet="0" activeTab="2" autoFilterDateGrouping="1"/>
  </bookViews>
  <sheets>
    <sheet name="Instructions" sheetId="1" state="visible" r:id="rId1"/>
    <sheet name="Assumptions" sheetId="2" state="visible" r:id="rId2"/>
    <sheet name="Scenario Inputs" sheetId="3" state="visible" r:id="rId3"/>
    <sheet name="Calculator" sheetId="4" state="visible" r:id="rId4"/>
    <sheet name="Scenario Summary" sheetId="5" state="visible" r:id="rId5"/>
    <sheet name="PDF Output" sheetId="6" state="visible" r:id="rId6"/>
    <sheet name="Reference" sheetId="7" state="visible" r:id="rId7"/>
  </sheets>
  <definedNames>
    <definedName name="_xlnm.Print_Area" localSheetId="4">'Scenario Summary'!$A$1:$H$50</definedName>
    <definedName name="_xlnm.Print_Area" localSheetId="5">'PDF Output'!$A$1:$H$50</definedName>
  </definedNames>
  <calcPr calcId="191029" fullCalcOnLoad="1"/>
</workbook>
</file>

<file path=xl/styles.xml><?xml version="1.0" encoding="utf-8"?>
<styleSheet xmlns="http://schemas.openxmlformats.org/spreadsheetml/2006/main">
  <numFmts count="4">
    <numFmt numFmtId="164" formatCode="\$#,##0"/>
    <numFmt numFmtId="165" formatCode="0.0%"/>
    <numFmt numFmtId="166" formatCode="\$#,##0.00"/>
    <numFmt numFmtId="167" formatCode="mm/dd/yyyy"/>
  </numFmts>
  <fonts count="18">
    <font>
      <name val="Carlito"/>
      <sz val="11"/>
    </font>
    <font>
      <name val="Calibri"/>
      <family val="2"/>
      <sz val="11"/>
    </font>
    <font>
      <name val="Calibri"/>
      <family val="2"/>
      <b val="1"/>
      <color rgb="FF1B1B1B"/>
      <sz val="11"/>
    </font>
    <font>
      <name val="Calibri"/>
      <family val="2"/>
      <b val="1"/>
      <color rgb="FFFFFFFF"/>
      <sz val="11"/>
    </font>
    <font>
      <name val="Calibri"/>
      <family val="2"/>
      <color rgb="FF111111"/>
      <sz val="11"/>
    </font>
    <font>
      <name val="Calibri"/>
      <family val="2"/>
      <color rgb="FF102A43"/>
      <sz val="10"/>
    </font>
    <font>
      <name val="Calibri"/>
      <b val="1"/>
      <color rgb="FF11315B"/>
      <sz val="16"/>
    </font>
    <font>
      <name val="Calibri"/>
      <color rgb="FF334155"/>
      <sz val="10"/>
    </font>
    <font>
      <name val="Calibri"/>
      <b val="1"/>
      <color rgb="FF0F3A58"/>
      <sz val="11"/>
    </font>
    <font>
      <name val="Calibri"/>
      <color rgb="FF1F2937"/>
      <sz val="10"/>
    </font>
    <font>
      <name val="Calibri"/>
      <b val="1"/>
      <color rgb="FF0F172A"/>
      <sz val="10"/>
    </font>
    <font>
      <name val="Calibri"/>
      <b val="1"/>
      <color rgb="FF0A2D4A"/>
      <sz val="11"/>
    </font>
    <font>
      <name val="Calibri"/>
      <b val="1"/>
      <color rgb="FFB91C1C"/>
      <sz val="10"/>
    </font>
    <font>
      <name val="Calibri"/>
      <color rgb="FF334155"/>
      <sz val="9"/>
    </font>
    <font>
      <name val="Calibri"/>
      <b val="1"/>
      <color rgb="FFB45309"/>
      <sz val="10"/>
    </font>
    <font>
      <name val="Calibri"/>
      <b val="1"/>
      <color rgb="FF1D4ED8"/>
      <sz val="10"/>
    </font>
    <font>
      <name val="Calibri"/>
      <i val="1"/>
      <color rgb="FF64748B"/>
      <sz val="9"/>
    </font>
    <font>
      <name val="Calibri"/>
      <sz val="10"/>
    </font>
  </fonts>
  <fills count="15">
    <fill>
      <patternFill/>
    </fill>
    <fill>
      <patternFill patternType="gray125"/>
    </fill>
    <fill>
      <patternFill patternType="solid">
        <fgColor rgb="FFDCE6F1"/>
      </patternFill>
    </fill>
    <fill>
      <patternFill patternType="solid">
        <fgColor rgb="FF1F4E78"/>
      </patternFill>
    </fill>
    <fill>
      <patternFill patternType="solid">
        <fgColor rgb="FFFFF2CC"/>
      </patternFill>
    </fill>
    <fill>
      <patternFill patternType="solid">
        <fgColor rgb="FFEDEDED"/>
      </patternFill>
    </fill>
    <fill>
      <patternFill patternType="solid">
        <fgColor rgb="FF1F4E78"/>
      </patternFill>
    </fill>
    <fill>
      <patternFill patternType="solid">
        <fgColor rgb="FFDCE6F1"/>
      </patternFill>
    </fill>
    <fill>
      <patternFill patternType="solid">
        <fgColor rgb="FFF7FBFF"/>
      </patternFill>
    </fill>
    <fill>
      <patternFill patternType="solid">
        <fgColor rgb="FFF4F7FB"/>
      </patternFill>
    </fill>
    <fill>
      <patternFill patternType="solid">
        <fgColor rgb="FFE9F0FA"/>
      </patternFill>
    </fill>
    <fill>
      <patternFill patternType="solid">
        <fgColor rgb="FFF8FAFC"/>
      </patternFill>
    </fill>
    <fill>
      <patternFill patternType="solid">
        <fgColor rgb="FFDDF0E8"/>
      </patternFill>
    </fill>
    <fill>
      <patternFill patternType="solid">
        <fgColor rgb="FFFFF7E6"/>
      </patternFill>
    </fill>
    <fill>
      <patternFill patternType="solid">
        <fgColor rgb="FFF0F6FF"/>
      </patternFill>
    </fill>
  </fills>
  <borders count="7">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thin">
        <color rgb="FFD0D7DE"/>
      </top>
      <bottom/>
      <diagonal/>
    </border>
    <border>
      <left/>
      <right style="thin">
        <color rgb="FFD0D7DE"/>
      </right>
      <top style="thin">
        <color rgb="FFD0D7DE"/>
      </top>
      <bottom/>
      <diagonal/>
    </border>
  </borders>
  <cellStyleXfs count="1">
    <xf numFmtId="0" fontId="0" fillId="0" borderId="1"/>
  </cellStyleXfs>
  <cellXfs count="92">
    <xf numFmtId="0" fontId="0" fillId="0" borderId="0" pivotButton="0" quotePrefix="0" xfId="0"/>
    <xf numFmtId="0" fontId="1"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1" fillId="0" borderId="0" applyAlignment="1" pivotButton="0" quotePrefix="0" xfId="0">
      <alignment vertical="top" wrapText="1"/>
    </xf>
    <xf numFmtId="0" fontId="1" fillId="0" borderId="0" applyAlignment="1" pivotButton="0" quotePrefix="0" xfId="0">
      <alignment wrapText="1"/>
    </xf>
    <xf numFmtId="0" fontId="1" fillId="0" borderId="1" applyAlignment="1" pivotButton="0" quotePrefix="0" xfId="0">
      <alignment wrapText="1"/>
    </xf>
    <xf numFmtId="164" fontId="1" fillId="0" borderId="1" applyAlignment="1" pivotButton="0" quotePrefix="0" xfId="0">
      <alignment wrapText="1"/>
    </xf>
    <xf numFmtId="4" fontId="1" fillId="0" borderId="1" applyAlignment="1" pivotButton="0" quotePrefix="0" xfId="0">
      <alignment wrapText="1"/>
    </xf>
    <xf numFmtId="165" fontId="4" fillId="5" borderId="1" applyAlignment="1" pivotButton="0" quotePrefix="0" xfId="0">
      <alignment wrapText="1"/>
    </xf>
    <xf numFmtId="165" fontId="4" fillId="5" borderId="0" applyAlignment="1" pivotButton="0" quotePrefix="0" xfId="0">
      <alignment wrapText="1"/>
    </xf>
    <xf numFmtId="165" fontId="4" fillId="4" borderId="1" applyAlignment="1" pivotButton="0" quotePrefix="0" xfId="0">
      <alignment wrapText="1"/>
    </xf>
    <xf numFmtId="0" fontId="4" fillId="5" borderId="1" pivotButton="0" quotePrefix="0" xfId="0"/>
    <xf numFmtId="0" fontId="1" fillId="0" borderId="1" pivotButton="0" quotePrefix="0" xfId="0"/>
    <xf numFmtId="0" fontId="2" fillId="2" borderId="0" applyAlignment="1" pivotButton="0" quotePrefix="0" xfId="0">
      <alignment wrapText="1"/>
    </xf>
    <xf numFmtId="0" fontId="3" fillId="3" borderId="0" applyAlignment="1" pivotButton="0" quotePrefix="0" xfId="0">
      <alignment horizontal="left" vertical="center" wrapText="1"/>
    </xf>
    <xf numFmtId="0" fontId="5" fillId="2" borderId="0" applyAlignment="1" pivotButton="0" quotePrefix="0" xfId="0">
      <alignment horizontal="left" vertical="top" wrapText="1"/>
    </xf>
    <xf numFmtId="0" fontId="5" fillId="0" borderId="1" applyAlignment="1" pivotButton="0" quotePrefix="0" xfId="0">
      <alignment horizontal="left" vertical="top" wrapText="1"/>
    </xf>
    <xf numFmtId="0" fontId="5" fillId="0" borderId="0" applyAlignment="1" pivotButton="0" quotePrefix="0" xfId="0">
      <alignment horizontal="left" vertical="top" wrapText="1"/>
    </xf>
    <xf numFmtId="0" fontId="5" fillId="8" borderId="1" applyAlignment="1" pivotButton="0" quotePrefix="0" xfId="0">
      <alignment horizontal="left" vertical="top" wrapText="1"/>
    </xf>
    <xf numFmtId="0" fontId="5" fillId="3" borderId="1" applyAlignment="1" pivotButton="0" quotePrefix="0" xfId="0">
      <alignment horizontal="left" vertical="top" wrapText="1"/>
    </xf>
    <xf numFmtId="0" fontId="5" fillId="3" borderId="0" applyAlignment="1" pivotButton="0" quotePrefix="0" xfId="0">
      <alignment horizontal="left" vertical="top" wrapText="1"/>
    </xf>
    <xf numFmtId="4" fontId="5" fillId="0" borderId="1" applyAlignment="1" pivotButton="0" quotePrefix="0" xfId="0">
      <alignment horizontal="left" vertical="top" wrapText="1"/>
    </xf>
    <xf numFmtId="164" fontId="5" fillId="5" borderId="1" applyAlignment="1" pivotButton="0" quotePrefix="0" xfId="0">
      <alignment horizontal="left" vertical="top" wrapText="1"/>
    </xf>
    <xf numFmtId="4" fontId="5" fillId="3" borderId="1" applyAlignment="1" pivotButton="0" quotePrefix="0" xfId="0">
      <alignment horizontal="left" vertical="top" wrapText="1"/>
    </xf>
    <xf numFmtId="166" fontId="5" fillId="5" borderId="0" applyAlignment="1" pivotButton="0" quotePrefix="0" xfId="0">
      <alignment horizontal="left" vertical="top" wrapText="1"/>
    </xf>
    <xf numFmtId="4" fontId="5" fillId="4" borderId="1" applyAlignment="1" pivotButton="0" quotePrefix="0" xfId="0">
      <alignment horizontal="left" vertical="top" wrapText="1"/>
    </xf>
    <xf numFmtId="165" fontId="5" fillId="4" borderId="0" applyAlignment="1" pivotButton="0" quotePrefix="0" xfId="0">
      <alignment horizontal="left" vertical="top" wrapText="1"/>
    </xf>
    <xf numFmtId="1" fontId="5" fillId="4" borderId="0" applyAlignment="1" pivotButton="0" quotePrefix="0" xfId="0">
      <alignment horizontal="left" vertical="top" wrapText="1"/>
    </xf>
    <xf numFmtId="164" fontId="5" fillId="4" borderId="0" applyAlignment="1" pivotButton="0" quotePrefix="0" xfId="0">
      <alignment horizontal="left" vertical="top" wrapText="1"/>
    </xf>
    <xf numFmtId="0" fontId="5" fillId="5" borderId="1" applyAlignment="1" pivotButton="0" quotePrefix="0" xfId="0">
      <alignment horizontal="left" vertical="top" wrapText="1"/>
    </xf>
    <xf numFmtId="49" fontId="5" fillId="5" borderId="1" applyAlignment="1" pivotButton="0" quotePrefix="0" xfId="0">
      <alignment horizontal="left" vertical="top" wrapText="1"/>
    </xf>
    <xf numFmtId="165" fontId="5" fillId="5" borderId="1" applyAlignment="1" pivotButton="0" quotePrefix="0" xfId="0">
      <alignment horizontal="left" vertical="top" wrapText="1"/>
    </xf>
    <xf numFmtId="1" fontId="5" fillId="5" borderId="1" applyAlignment="1" pivotButton="0" quotePrefix="0" xfId="0">
      <alignment horizontal="left" vertical="top" wrapText="1"/>
    </xf>
    <xf numFmtId="166" fontId="5" fillId="5" borderId="1" applyAlignment="1" pivotButton="0" quotePrefix="0" xfId="0">
      <alignment horizontal="left" vertical="top" wrapText="1"/>
    </xf>
    <xf numFmtId="2" fontId="5" fillId="5" borderId="1" applyAlignment="1" pivotButton="0" quotePrefix="0" xfId="0">
      <alignment horizontal="left" vertical="top" wrapText="1"/>
    </xf>
    <xf numFmtId="167" fontId="1" fillId="0" borderId="1" applyAlignment="1" pivotButton="0" quotePrefix="0" xfId="0">
      <alignment wrapText="1"/>
    </xf>
    <xf numFmtId="0" fontId="17" fillId="8" borderId="0" applyAlignment="1" pivotButton="0" quotePrefix="0" xfId="0">
      <alignment horizontal="left" vertical="top" wrapText="1"/>
    </xf>
    <xf numFmtId="0" fontId="17" fillId="4" borderId="0" applyAlignment="1" pivotButton="0" quotePrefix="0" xfId="0">
      <alignment horizontal="left" vertical="top" wrapText="1"/>
    </xf>
    <xf numFmtId="0" fontId="17" fillId="8" borderId="1" applyAlignment="1" pivotButton="0" quotePrefix="0" xfId="0">
      <alignment horizontal="left" vertical="top" wrapText="1"/>
    </xf>
    <xf numFmtId="0" fontId="17" fillId="3" borderId="1" applyAlignment="1" pivotButton="0" quotePrefix="0" xfId="0">
      <alignment horizontal="left" vertical="top" wrapText="1"/>
    </xf>
    <xf numFmtId="0" fontId="17" fillId="13" borderId="1" applyAlignment="1" pivotButton="0" quotePrefix="0" xfId="0">
      <alignment horizontal="left" vertical="top" wrapText="1"/>
    </xf>
    <xf numFmtId="0" fontId="17" fillId="5" borderId="1" applyAlignment="1" pivotButton="0" quotePrefix="0" xfId="0">
      <alignment horizontal="left" vertical="top" wrapText="1"/>
    </xf>
    <xf numFmtId="0" fontId="17" fillId="14" borderId="1" applyAlignment="1" pivotButton="0" quotePrefix="0" xfId="0">
      <alignment horizontal="left" vertical="top" wrapText="1"/>
    </xf>
    <xf numFmtId="0" fontId="17" fillId="13" borderId="1" pivotButton="0" quotePrefix="0" xfId="0"/>
    <xf numFmtId="0" fontId="17" fillId="0" borderId="1" applyAlignment="1" pivotButton="0" quotePrefix="0" xfId="0">
      <alignment horizontal="left" vertical="top" wrapText="1"/>
    </xf>
    <xf numFmtId="0" fontId="17" fillId="2" borderId="0" applyAlignment="1" pivotButton="0" quotePrefix="0" xfId="0">
      <alignment horizontal="left" vertical="top" wrapText="1"/>
    </xf>
    <xf numFmtId="0" fontId="17" fillId="0" borderId="0" applyAlignment="1" pivotButton="0" quotePrefix="0" xfId="0">
      <alignment horizontal="left" vertical="top" wrapText="1"/>
    </xf>
    <xf numFmtId="0" fontId="17" fillId="3" borderId="1" applyAlignment="1" pivotButton="0" quotePrefix="0" xfId="0">
      <alignment horizontal="left" vertical="center" wrapText="1"/>
    </xf>
    <xf numFmtId="0" fontId="17" fillId="6" borderId="0" applyAlignment="1" pivotButton="0" quotePrefix="0" xfId="0">
      <alignment horizontal="center" vertical="center" wrapText="1"/>
    </xf>
    <xf numFmtId="0" fontId="17" fillId="0" borderId="1" applyAlignment="1" pivotButton="0" quotePrefix="0" xfId="0">
      <alignment wrapText="1"/>
    </xf>
    <xf numFmtId="0" fontId="17" fillId="0" borderId="0" applyAlignment="1" pivotButton="0" quotePrefix="0" xfId="0">
      <alignment horizontal="center" vertical="center"/>
    </xf>
    <xf numFmtId="0" fontId="17" fillId="0" borderId="0" applyAlignment="1" pivotButton="0" quotePrefix="0" xfId="0">
      <alignment horizontal="center" vertical="center" wrapText="1"/>
    </xf>
    <xf numFmtId="0" fontId="17" fillId="6" borderId="0" applyAlignment="1" pivotButton="0" quotePrefix="0" xfId="0">
      <alignment horizontal="left" vertical="top" wrapText="1"/>
    </xf>
    <xf numFmtId="0" fontId="17" fillId="6" borderId="0" applyAlignment="1" pivotButton="0" quotePrefix="0" xfId="0">
      <alignment wrapText="1"/>
    </xf>
    <xf numFmtId="165" fontId="17" fillId="0" borderId="0" applyAlignment="1" pivotButton="0" quotePrefix="0" xfId="0">
      <alignment wrapText="1"/>
    </xf>
    <xf numFmtId="0" fontId="17" fillId="0" borderId="0" applyAlignment="1" pivotButton="0" quotePrefix="0" xfId="0">
      <alignment wrapText="1"/>
    </xf>
    <xf numFmtId="164" fontId="17" fillId="0" borderId="0" applyAlignment="1" pivotButton="0" quotePrefix="0" xfId="0">
      <alignment wrapText="1"/>
    </xf>
    <xf numFmtId="0" fontId="17" fillId="7" borderId="0" applyAlignment="1" pivotButton="0" quotePrefix="0" xfId="0">
      <alignment horizontal="left" vertical="top" wrapText="1"/>
    </xf>
    <xf numFmtId="165" fontId="17" fillId="13" borderId="0" applyAlignment="1" pivotButton="0" quotePrefix="0" xfId="0">
      <alignment horizontal="left" vertical="top" wrapText="1"/>
    </xf>
    <xf numFmtId="0" fontId="17" fillId="14" borderId="0" applyAlignment="1" pivotButton="0" quotePrefix="0" xfId="0">
      <alignment horizontal="left" vertical="top" wrapText="1"/>
    </xf>
    <xf numFmtId="0" fontId="1" fillId="14" borderId="0" applyAlignment="1" pivotButton="0" quotePrefix="0" xfId="0">
      <alignment wrapText="1"/>
    </xf>
    <xf numFmtId="1" fontId="17" fillId="13" borderId="0" applyAlignment="1" pivotButton="0" quotePrefix="0" xfId="0">
      <alignment horizontal="left" vertical="top" wrapText="1"/>
    </xf>
    <xf numFmtId="164" fontId="17" fillId="13" borderId="0" applyAlignment="1" pivotButton="0" quotePrefix="0" xfId="0">
      <alignment horizontal="left" vertical="top" wrapText="1"/>
    </xf>
    <xf numFmtId="0" fontId="0" fillId="0" borderId="2" applyAlignment="1" pivotButton="0" quotePrefix="0" xfId="0">
      <alignment vertical="top" wrapText="1"/>
    </xf>
    <xf numFmtId="0" fontId="9" fillId="0" borderId="2" applyAlignment="1" pivotButton="0" quotePrefix="0" xfId="0">
      <alignment vertical="top" wrapText="1"/>
    </xf>
    <xf numFmtId="166" fontId="10" fillId="11" borderId="2" applyAlignment="1" pivotButton="0" quotePrefix="0" xfId="0">
      <alignment vertical="top" wrapText="1"/>
    </xf>
    <xf numFmtId="166" fontId="11" fillId="12" borderId="2" applyAlignment="1" pivotButton="0" quotePrefix="0" xfId="0">
      <alignment vertical="top" wrapText="1"/>
    </xf>
    <xf numFmtId="0" fontId="10" fillId="0" borderId="2" applyAlignment="1" pivotButton="0" quotePrefix="0" xfId="0">
      <alignment vertical="top" wrapText="1"/>
    </xf>
    <xf numFmtId="1" fontId="10" fillId="0" borderId="2" applyAlignment="1" pivotButton="0" quotePrefix="0" xfId="0">
      <alignment vertical="top" wrapText="1"/>
    </xf>
    <xf numFmtId="164" fontId="10" fillId="0" borderId="2" applyAlignment="1" pivotButton="0" quotePrefix="0" xfId="0">
      <alignment vertical="top" wrapText="1"/>
    </xf>
    <xf numFmtId="164" fontId="10" fillId="12" borderId="2"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4" fillId="0" borderId="2" applyAlignment="1" pivotButton="0" quotePrefix="0" xfId="0">
      <alignment vertical="top" wrapText="1"/>
    </xf>
    <xf numFmtId="0" fontId="15" fillId="0" borderId="2" applyAlignment="1" pivotButton="0" quotePrefix="0" xfId="0">
      <alignment vertical="top" wrapText="1"/>
    </xf>
    <xf numFmtId="0" fontId="8" fillId="10" borderId="2" applyAlignment="1" pivotButton="0" quotePrefix="0" xfId="0">
      <alignment vertical="top" wrapText="1"/>
    </xf>
    <xf numFmtId="0" fontId="0" fillId="0" borderId="3" pivotButton="0" quotePrefix="0" xfId="0"/>
    <xf numFmtId="0" fontId="0" fillId="0" borderId="4" pivotButton="0" quotePrefix="0" xfId="0"/>
    <xf numFmtId="0" fontId="16" fillId="0" borderId="2" applyAlignment="1" pivotButton="0" quotePrefix="0" xfId="0">
      <alignment vertical="top" wrapText="1"/>
    </xf>
    <xf numFmtId="0" fontId="7" fillId="9" borderId="2" applyAlignment="1" pivotButton="0" quotePrefix="0" xfId="0">
      <alignment vertical="top" wrapText="1"/>
    </xf>
    <xf numFmtId="0" fontId="6" fillId="9" borderId="2" applyAlignment="1" pivotButton="0" quotePrefix="0" xfId="0">
      <alignment vertical="top" wrapText="1"/>
    </xf>
    <xf numFmtId="0" fontId="5" fillId="0" borderId="1" applyAlignment="1" pivotButton="0" quotePrefix="0" xfId="0">
      <alignment horizontal="left" vertical="top" wrapText="1"/>
    </xf>
    <xf numFmtId="0" fontId="0" fillId="0" borderId="0" pivotButton="0" quotePrefix="0" xfId="0"/>
    <xf numFmtId="0" fontId="5" fillId="8" borderId="1" applyAlignment="1" pivotButton="0" quotePrefix="0" xfId="0">
      <alignment horizontal="left" vertical="top" wrapText="1"/>
    </xf>
    <xf numFmtId="0" fontId="5" fillId="6" borderId="1" applyAlignment="1" pivotButton="0" quotePrefix="0" xfId="0">
      <alignment horizontal="left" vertical="top" wrapText="1"/>
    </xf>
    <xf numFmtId="0" fontId="17" fillId="6" borderId="1" applyAlignment="1" pivotButton="0" quotePrefix="0" xfId="0">
      <alignment horizontal="left" vertical="top" wrapText="1"/>
    </xf>
    <xf numFmtId="167" fontId="1" fillId="0" borderId="1" applyAlignment="1" pivotButton="0" quotePrefix="0" xfId="0">
      <alignment wrapText="1"/>
    </xf>
    <xf numFmtId="166" fontId="5" fillId="5" borderId="0" applyAlignment="1" pivotButton="0" quotePrefix="0" xfId="0">
      <alignment horizontal="left" vertical="top" wrapText="1"/>
    </xf>
    <xf numFmtId="166" fontId="5" fillId="5" borderId="1" applyAlignment="1" pivotButton="0" quotePrefix="0" xfId="0">
      <alignment horizontal="left" vertical="top" wrapText="1"/>
    </xf>
    <xf numFmtId="166" fontId="10" fillId="11" borderId="2" applyAlignment="1" pivotButton="0" quotePrefix="0" xfId="0">
      <alignment vertical="top" wrapText="1"/>
    </xf>
    <xf numFmtId="166" fontId="11" fillId="12" borderId="2" applyAlignment="1" pivotButton="0" quotePrefix="0" xfId="0">
      <alignment vertical="top" wrapText="1"/>
    </xf>
  </cellXfs>
  <cellStyles count="1">
    <cellStyle name="Normal" xfId="0" builtinId="0"/>
  </cellStyles>
  <dxfs count="6">
    <dxf>
      <fill>
        <patternFill patternType="solid">
          <fgColor rgb="FFFCE4E4"/>
        </patternFill>
      </fill>
    </dxf>
    <dxf>
      <fill>
        <patternFill patternType="solid">
          <fgColor rgb="FFFFF2CC"/>
        </patternFill>
      </fill>
    </dxf>
    <dxf>
      <fill>
        <patternFill patternType="solid">
          <fgColor rgb="FFD9F2E3"/>
        </patternFill>
      </fill>
    </dxf>
    <dxf>
      <fill>
        <patternFill patternType="solid">
          <fgColor rgb="FFFCE4E4"/>
        </patternFill>
      </fill>
    </dxf>
    <dxf>
      <fill>
        <patternFill patternType="solid">
          <fgColor rgb="FFFFF2CC"/>
        </patternFill>
      </fill>
    </dxf>
    <dxf>
      <fill>
        <patternFill patternType="solid">
          <fgColor rgb="FFD9F2E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showGridLines="0" zoomScale="115" workbookViewId="0">
      <pane ySplit="3" topLeftCell="A4" activePane="bottomLeft" state="frozen"/>
      <selection pane="bottomLeft" activeCell="A1" sqref="A1"/>
    </sheetView>
  </sheetViews>
  <sheetFormatPr baseColWidth="10" defaultColWidth="8.83203125" defaultRowHeight="14"/>
  <cols>
    <col width="56" customWidth="1" style="83" min="1" max="1"/>
    <col width="24" customWidth="1" style="83" min="2" max="8"/>
  </cols>
  <sheetData>
    <row r="1" ht="34" customHeight="1" s="83">
      <c r="A1" s="85" t="inlineStr">
        <is>
          <t>Adrabetadex Provider Net-Cost Recovery Calculator - Instructions</t>
        </is>
      </c>
    </row>
    <row r="2" ht="15" customHeight="1" s="83">
      <c r="A2" s="2" t="n"/>
      <c r="B2" s="2" t="n"/>
      <c r="C2" s="2" t="n"/>
      <c r="D2" s="2" t="n"/>
      <c r="E2" s="2" t="n"/>
      <c r="F2" s="2" t="n"/>
      <c r="G2" s="2" t="n"/>
      <c r="H2" s="2" t="n"/>
    </row>
    <row r="3" ht="15" customHeight="1" s="83">
      <c r="A3" s="16" t="inlineStr">
        <is>
          <t>Purpose</t>
        </is>
      </c>
      <c r="B3" s="3" t="n"/>
      <c r="C3" s="3" t="n"/>
      <c r="D3" s="3" t="n"/>
      <c r="E3" s="3" t="n"/>
      <c r="F3" s="3" t="n"/>
      <c r="G3" s="3" t="n"/>
      <c r="H3" s="3" t="n"/>
    </row>
    <row r="4" ht="34" customHeight="1" s="83">
      <c r="A4" s="82" t="inlineStr">
        <is>
          <t>This workbook estimates provider net-cost recovery for Adrabetadex under selected reimbursement, site-of-care, payer, sourcing, and timing scenarios.</t>
        </is>
      </c>
    </row>
    <row r="5" ht="15" customHeight="1" s="83">
      <c r="A5" s="4" t="n"/>
      <c r="B5" s="2" t="n"/>
      <c r="C5" s="2" t="n"/>
      <c r="D5" s="2" t="n"/>
      <c r="E5" s="2" t="n"/>
      <c r="F5" s="2" t="n"/>
      <c r="G5" s="2" t="n"/>
      <c r="H5" s="2" t="n"/>
    </row>
    <row r="6" ht="16" customHeight="1" s="83">
      <c r="A6" s="16" t="inlineStr">
        <is>
          <t>Intended Users</t>
        </is>
      </c>
      <c r="B6" s="3" t="n"/>
      <c r="C6" s="3" t="n"/>
      <c r="D6" s="3" t="n"/>
      <c r="E6" s="3" t="n"/>
      <c r="F6" s="3" t="n"/>
      <c r="G6" s="3" t="n"/>
      <c r="H6" s="3" t="n"/>
    </row>
    <row r="7" ht="15" customHeight="1" s="83">
      <c r="A7" s="18" t="inlineStr">
        <is>
          <t>Regional reimbursement managers should customize this worksheet by quarter and payer mix.</t>
        </is>
      </c>
      <c r="B7" s="2" t="n"/>
      <c r="C7" s="2" t="n"/>
      <c r="D7" s="2" t="n"/>
      <c r="E7" s="2" t="n"/>
      <c r="F7" s="2" t="n"/>
      <c r="G7" s="2" t="n"/>
      <c r="H7" s="2" t="n"/>
    </row>
    <row r="8" ht="15" customHeight="1" s="83">
      <c r="A8" s="18" t="inlineStr">
        <is>
          <t>Provider reimbursement directors</t>
        </is>
      </c>
      <c r="B8" s="2" t="n"/>
      <c r="C8" s="2" t="n"/>
      <c r="D8" s="2" t="n"/>
      <c r="E8" s="2" t="n"/>
      <c r="F8" s="2" t="n"/>
      <c r="G8" s="2" t="n"/>
      <c r="H8" s="2" t="n"/>
    </row>
    <row r="9" ht="15" customHeight="1" s="83">
      <c r="A9" s="18" t="inlineStr">
        <is>
          <t>Revenue cycle teams</t>
        </is>
      </c>
      <c r="B9" s="2" t="n"/>
      <c r="C9" s="2" t="n"/>
      <c r="D9" s="2" t="n"/>
      <c r="E9" s="2" t="n"/>
      <c r="F9" s="2" t="n"/>
      <c r="G9" s="2" t="n"/>
      <c r="H9" s="2" t="n"/>
    </row>
    <row r="10" ht="15" customHeight="1" s="83">
      <c r="A10" s="18" t="inlineStr">
        <is>
          <t>Pharmacy leadership</t>
        </is>
      </c>
      <c r="B10" s="2" t="n"/>
      <c r="C10" s="2" t="n"/>
      <c r="D10" s="2" t="n"/>
      <c r="E10" s="2" t="n"/>
      <c r="F10" s="2" t="n"/>
      <c r="G10" s="2" t="n"/>
      <c r="H10" s="2" t="n"/>
    </row>
    <row r="11" ht="15" customHeight="1" s="83">
      <c r="A11" s="18" t="inlineStr">
        <is>
          <t>Patient access teams</t>
        </is>
      </c>
      <c r="B11" s="2" t="n"/>
      <c r="C11" s="2" t="n"/>
      <c r="D11" s="2" t="n"/>
      <c r="E11" s="2" t="n"/>
      <c r="F11" s="2" t="n"/>
      <c r="G11" s="2" t="n"/>
      <c r="H11" s="2" t="n"/>
    </row>
    <row r="12" ht="15" customHeight="1" s="83">
      <c r="A12" s="4" t="n"/>
      <c r="B12" s="2" t="n"/>
      <c r="C12" s="2" t="n"/>
      <c r="D12" s="2" t="n"/>
      <c r="E12" s="2" t="n"/>
      <c r="F12" s="2" t="n"/>
      <c r="G12" s="2" t="n"/>
      <c r="H12" s="2" t="n"/>
    </row>
    <row r="13" ht="16" customHeight="1" s="83">
      <c r="A13" s="16" t="inlineStr">
        <is>
          <t>What the Model Calculates</t>
        </is>
      </c>
      <c r="B13" s="3" t="n"/>
      <c r="C13" s="3" t="n"/>
      <c r="D13" s="3" t="n"/>
      <c r="E13" s="3" t="n"/>
      <c r="F13" s="3" t="n"/>
      <c r="G13" s="3" t="n"/>
      <c r="H13" s="3" t="n"/>
    </row>
    <row r="14" ht="15" customHeight="1" s="83">
      <c r="A14" s="18" t="inlineStr">
        <is>
          <t>drug acquisition cost per administration</t>
        </is>
      </c>
      <c r="B14" s="2" t="n"/>
      <c r="C14" s="2" t="n"/>
      <c r="D14" s="2" t="n"/>
      <c r="E14" s="2" t="n"/>
      <c r="F14" s="2" t="n"/>
      <c r="G14" s="2" t="n"/>
      <c r="H14" s="2" t="n"/>
    </row>
    <row r="15" ht="15" customHeight="1" s="83">
      <c r="A15" s="18" t="inlineStr">
        <is>
          <t>allowed drug reimbursement per administration</t>
        </is>
      </c>
      <c r="B15" s="2" t="n"/>
      <c r="C15" s="2" t="n"/>
      <c r="D15" s="2" t="n"/>
      <c r="E15" s="2" t="n"/>
      <c r="F15" s="2" t="n"/>
      <c r="G15" s="2" t="n"/>
      <c r="H15" s="2" t="n"/>
    </row>
    <row r="16" ht="15" customHeight="1" s="83">
      <c r="A16" s="18" t="inlineStr">
        <is>
          <t>drug spread</t>
        </is>
      </c>
      <c r="B16" s="2" t="n"/>
      <c r="C16" s="2" t="n"/>
      <c r="D16" s="2" t="n"/>
      <c r="E16" s="2" t="n"/>
      <c r="F16" s="2" t="n"/>
      <c r="G16" s="2" t="n"/>
      <c r="H16" s="2" t="n"/>
    </row>
    <row r="17" ht="15" customHeight="1" s="83">
      <c r="A17" s="18" t="inlineStr">
        <is>
          <t>non-drug operating costs</t>
        </is>
      </c>
      <c r="B17" s="2" t="n"/>
      <c r="C17" s="2" t="n"/>
      <c r="D17" s="2" t="n"/>
      <c r="E17" s="2" t="n"/>
      <c r="F17" s="2" t="n"/>
      <c r="G17" s="2" t="n"/>
      <c r="H17" s="2" t="n"/>
    </row>
    <row r="18" ht="15" customHeight="1" s="83">
      <c r="A18" s="18" t="inlineStr">
        <is>
          <t>denial-related drag</t>
        </is>
      </c>
      <c r="B18" s="2" t="n"/>
      <c r="C18" s="2" t="n"/>
      <c r="D18" s="2" t="n"/>
      <c r="E18" s="2" t="n"/>
      <c r="F18" s="2" t="n"/>
      <c r="G18" s="2" t="n"/>
      <c r="H18" s="2" t="n"/>
    </row>
    <row r="19" ht="15" customHeight="1" s="83">
      <c r="A19" s="18" t="inlineStr">
        <is>
          <t>financing drag from payment delay</t>
        </is>
      </c>
      <c r="B19" s="2" t="n"/>
      <c r="C19" s="2" t="n"/>
      <c r="D19" s="2" t="n"/>
      <c r="E19" s="2" t="n"/>
      <c r="F19" s="2" t="n"/>
      <c r="G19" s="2" t="n"/>
      <c r="H19" s="2" t="n"/>
    </row>
    <row r="20" ht="15" customHeight="1" s="83">
      <c r="A20" s="18" t="inlineStr">
        <is>
          <t>net operating margin per administration</t>
        </is>
      </c>
      <c r="B20" s="2" t="n"/>
      <c r="C20" s="2" t="n"/>
      <c r="D20" s="2" t="n"/>
      <c r="E20" s="2" t="n"/>
      <c r="F20" s="2" t="n"/>
      <c r="G20" s="2" t="n"/>
      <c r="H20" s="2" t="n"/>
    </row>
    <row r="21" ht="15" customHeight="1" s="83">
      <c r="A21" s="18" t="inlineStr">
        <is>
          <t>annualized contribution</t>
        </is>
      </c>
      <c r="B21" s="2" t="n"/>
      <c r="C21" s="2" t="n"/>
      <c r="D21" s="2" t="n"/>
      <c r="E21" s="2" t="n"/>
      <c r="F21" s="2" t="n"/>
      <c r="G21" s="2" t="n"/>
      <c r="H21" s="2" t="n"/>
    </row>
    <row r="22" ht="15" customHeight="1" s="83">
      <c r="A22" s="18" t="inlineStr">
        <is>
          <t>cash exposure</t>
        </is>
      </c>
      <c r="B22" s="2" t="n"/>
      <c r="C22" s="2" t="n"/>
      <c r="D22" s="2" t="n"/>
      <c r="E22" s="2" t="n"/>
      <c r="F22" s="2" t="n"/>
      <c r="G22" s="2" t="n"/>
      <c r="H22" s="2" t="n"/>
    </row>
    <row r="23" ht="15" customHeight="1" s="83">
      <c r="A23" s="18" t="inlineStr">
        <is>
          <t>break-even manufacturer support</t>
        </is>
      </c>
      <c r="B23" s="2" t="n"/>
      <c r="C23" s="2" t="n"/>
      <c r="D23" s="2" t="n"/>
      <c r="E23" s="2" t="n"/>
      <c r="F23" s="2" t="n"/>
      <c r="G23" s="2" t="n"/>
      <c r="H23" s="2" t="n"/>
    </row>
    <row r="24" ht="15" customHeight="1" s="83">
      <c r="A24" s="4" t="n"/>
      <c r="B24" s="2" t="n"/>
      <c r="C24" s="2" t="n"/>
      <c r="D24" s="2" t="n"/>
      <c r="E24" s="2" t="n"/>
      <c r="F24" s="2" t="n"/>
      <c r="G24" s="2" t="n"/>
      <c r="H24" s="2" t="n"/>
    </row>
    <row r="25" ht="16" customHeight="1" s="83">
      <c r="A25" s="16" t="inlineStr">
        <is>
          <t>Inputs and controls</t>
        </is>
      </c>
      <c r="B25" s="3" t="n"/>
      <c r="C25" s="3" t="n"/>
      <c r="D25" s="3" t="n"/>
      <c r="E25" s="3" t="n"/>
      <c r="F25" s="3" t="n"/>
      <c r="G25" s="3" t="n"/>
      <c r="H25" s="3" t="n"/>
    </row>
    <row r="26" ht="15" customHeight="1" s="83">
      <c r="A26" s="18" t="inlineStr">
        <is>
          <t>Fixed assumptions are core launch assumptions.</t>
        </is>
      </c>
      <c r="B26" s="2" t="n"/>
      <c r="C26" s="2" t="n"/>
      <c r="D26" s="2" t="n"/>
      <c r="E26" s="2" t="n"/>
      <c r="F26" s="2" t="n"/>
      <c r="G26" s="2" t="n"/>
      <c r="H26" s="2" t="n"/>
    </row>
    <row r="27" ht="15" customHeight="1" s="83">
      <c r="A27" s="18" t="inlineStr">
        <is>
          <t>Editable fields are scenario-specific.</t>
        </is>
      </c>
      <c r="B27" s="2" t="n"/>
      <c r="C27" s="2" t="n"/>
      <c r="D27" s="2" t="n"/>
      <c r="E27" s="2" t="n"/>
      <c r="F27" s="2" t="n"/>
      <c r="G27" s="2" t="n"/>
      <c r="H27" s="2" t="n"/>
    </row>
    <row r="28" ht="15" customHeight="1" s="83">
      <c r="A28" s="18" t="inlineStr">
        <is>
          <t>Formula cells are locked and should not be edited manually.</t>
        </is>
      </c>
      <c r="B28" s="2" t="n"/>
      <c r="C28" s="2" t="n"/>
      <c r="D28" s="2" t="n"/>
      <c r="E28" s="2" t="n"/>
      <c r="F28" s="2" t="n"/>
      <c r="G28" s="2" t="n"/>
      <c r="H28" s="2" t="n"/>
    </row>
    <row r="29" ht="15" customHeight="1" s="83">
      <c r="A29" s="4" t="n"/>
      <c r="B29" s="2" t="n"/>
      <c r="C29" s="2" t="n"/>
      <c r="D29" s="2" t="n"/>
      <c r="E29" s="2" t="n"/>
      <c r="F29" s="2" t="n"/>
      <c r="G29" s="2" t="n"/>
      <c r="H29" s="2" t="n"/>
    </row>
    <row r="30" ht="16" customHeight="1" s="83">
      <c r="A30" s="16" t="inlineStr">
        <is>
          <t>Disclaimer</t>
        </is>
      </c>
      <c r="B30" s="3" t="n"/>
      <c r="C30" s="3" t="n"/>
      <c r="D30" s="3" t="n"/>
      <c r="E30" s="3" t="n"/>
      <c r="F30" s="3" t="n"/>
      <c r="G30" s="3" t="n"/>
      <c r="H30" s="3" t="n"/>
    </row>
    <row r="31" ht="34" customHeight="1" s="83">
      <c r="A31" s="84" t="inlineStr">
        <is>
          <t>This workbook is for planning and educational purposes only. It does not guarantee coverage, coding, payment, or reimbursement. Providers are responsible for selecting appropriate codes, documenting services, and confirming payer-specific billing and reimbursement rules. Results are estimates based on entered assumptions and may vary by payer, contract, state Medicaid program, site of care, coding status, 340B treatment, and claim outcome.</t>
        </is>
      </c>
    </row>
    <row r="32"/>
    <row r="33"/>
    <row r="34"/>
  </sheetData>
  <mergeCells count="3">
    <mergeCell ref="A4:H4"/>
    <mergeCell ref="A31:H34"/>
    <mergeCell ref="A1:H1"/>
  </mergeCells>
  <pageMargins left="0.6" right="0.6" top="0.7" bottom="0.7" header="0.2" footer="0.2"/>
  <pageSetup orientation="portrait"/>
</worksheet>
</file>

<file path=xl/worksheets/sheet2.xml><?xml version="1.0" encoding="utf-8"?>
<worksheet xmlns="http://schemas.openxmlformats.org/spreadsheetml/2006/main">
  <sheetPr>
    <outlinePr summaryBelow="1" summaryRight="1"/>
    <pageSetUpPr/>
  </sheetPr>
  <dimension ref="A1:H56"/>
  <sheetViews>
    <sheetView showGridLines="0" zoomScale="115" workbookViewId="0">
      <pane ySplit="3" topLeftCell="A23" activePane="bottomLeft" state="frozen"/>
      <selection pane="bottomLeft" activeCell="A1" sqref="A1:H1"/>
    </sheetView>
  </sheetViews>
  <sheetFormatPr baseColWidth="10" defaultColWidth="8.83203125" defaultRowHeight="14"/>
  <cols>
    <col width="46" customWidth="1" style="83" min="1" max="1"/>
    <col width="24" customWidth="1" style="83" min="2" max="2"/>
    <col width="22" customWidth="1" style="83" min="3" max="4"/>
    <col width="26" customWidth="1" style="83" min="5" max="5"/>
  </cols>
  <sheetData>
    <row r="1" ht="17" customHeight="1" s="83">
      <c r="A1" s="85" t="inlineStr">
        <is>
          <t>Assumptions</t>
        </is>
      </c>
    </row>
    <row r="2" ht="15" customHeight="1" s="83">
      <c r="A2" s="5" t="n"/>
      <c r="B2" s="5" t="n"/>
      <c r="C2" s="1" t="n"/>
      <c r="D2" s="1" t="n"/>
      <c r="E2" s="1" t="n"/>
      <c r="F2" s="1" t="n"/>
      <c r="G2" s="1" t="n"/>
      <c r="H2" s="1" t="n"/>
    </row>
    <row r="3" ht="16" customHeight="1" s="83">
      <c r="A3" s="20" t="inlineStr">
        <is>
          <t>Fixed Assumptions</t>
        </is>
      </c>
      <c r="B3" s="20" t="inlineStr">
        <is>
          <t>Value</t>
        </is>
      </c>
      <c r="C3" s="1" t="n"/>
      <c r="D3" s="21" t="inlineStr">
        <is>
          <t>Dropdown Lists</t>
        </is>
      </c>
      <c r="E3" s="21" t="inlineStr">
        <is>
          <t>Values</t>
        </is>
      </c>
      <c r="F3" s="1" t="n"/>
      <c r="G3" s="1" t="n"/>
      <c r="H3" s="1" t="n"/>
    </row>
    <row r="4" ht="15" customHeight="1" s="83">
      <c r="A4" s="82" t="inlineStr">
        <is>
          <t>Vial size</t>
        </is>
      </c>
      <c r="B4" s="82" t="inlineStr">
        <is>
          <t>900 mg</t>
        </is>
      </c>
      <c r="C4" s="1" t="n"/>
      <c r="D4" s="18" t="inlineStr">
        <is>
          <t>siteOfCare</t>
        </is>
      </c>
      <c r="E4" s="18" t="inlineStr">
        <is>
          <t>HOPD</t>
        </is>
      </c>
      <c r="F4" s="1" t="n"/>
      <c r="G4" s="1" t="n"/>
      <c r="H4" s="1" t="n"/>
    </row>
    <row r="5" ht="15" customHeight="1" s="83">
      <c r="A5" s="82" t="inlineStr">
        <is>
          <t>Launch WAC per vial</t>
        </is>
      </c>
      <c r="B5" s="7" t="n">
        <v>39000</v>
      </c>
      <c r="C5" s="1" t="n"/>
      <c r="D5" s="1" t="n"/>
      <c r="E5" s="18" t="inlineStr">
        <is>
          <t>Physician Office</t>
        </is>
      </c>
      <c r="F5" s="1" t="n"/>
      <c r="G5" s="1" t="n"/>
      <c r="H5" s="1" t="n"/>
    </row>
    <row r="6" ht="15" customHeight="1" s="83">
      <c r="A6" s="82" t="inlineStr">
        <is>
          <t>Dosing cadence</t>
        </is>
      </c>
      <c r="B6" s="22" t="inlineStr">
        <is>
          <t>Every 2 weeks</t>
        </is>
      </c>
      <c r="C6" s="1" t="n"/>
      <c r="D6" s="1" t="n"/>
      <c r="E6" s="18" t="inlineStr">
        <is>
          <t>Other</t>
        </is>
      </c>
      <c r="F6" s="1" t="n"/>
      <c r="G6" s="1" t="n"/>
      <c r="H6" s="1" t="n"/>
    </row>
    <row r="7" ht="15" customHeight="1" s="83">
      <c r="A7" s="82" t="inlineStr">
        <is>
          <t>Dosing interval weeks</t>
        </is>
      </c>
      <c r="B7" s="8" t="n">
        <v>2</v>
      </c>
      <c r="C7" s="1" t="n"/>
      <c r="D7" s="1" t="n"/>
      <c r="E7" s="1" t="n"/>
      <c r="F7" s="1" t="n"/>
      <c r="G7" s="1" t="n"/>
      <c r="H7" s="1" t="n"/>
    </row>
    <row r="8" ht="15" customHeight="1" s="83">
      <c r="A8" s="82" t="inlineStr">
        <is>
          <t>Administrations per year</t>
        </is>
      </c>
      <c r="B8" s="8" t="n">
        <v>26</v>
      </c>
      <c r="C8" s="1" t="n"/>
      <c r="D8" s="18" t="inlineStr">
        <is>
          <t>yesNo</t>
        </is>
      </c>
      <c r="E8" s="18" t="inlineStr">
        <is>
          <t>Yes</t>
        </is>
      </c>
      <c r="F8" s="1" t="n"/>
      <c r="G8" s="1" t="n"/>
      <c r="H8" s="1" t="n"/>
    </row>
    <row r="9" ht="15" customHeight="1" s="83">
      <c r="A9" s="82" t="inlineStr">
        <is>
          <t>Pre-ASP period administrations</t>
        </is>
      </c>
      <c r="B9" s="8" t="n">
        <v>13</v>
      </c>
      <c r="C9" s="1" t="n"/>
      <c r="D9" s="1" t="n"/>
      <c r="E9" s="18" t="inlineStr">
        <is>
          <t>No</t>
        </is>
      </c>
      <c r="F9" s="1" t="n"/>
      <c r="G9" s="1" t="n"/>
      <c r="H9" s="1" t="n"/>
    </row>
    <row r="10" ht="15" customHeight="1" s="83">
      <c r="A10" s="84" t="inlineStr">
        <is>
          <t>Annual gross WAC exposure</t>
        </is>
      </c>
      <c r="B10" s="23">
        <f>B5*B8</f>
        <v/>
      </c>
      <c r="C10" s="1" t="n"/>
      <c r="D10" s="1" t="n"/>
      <c r="E10" s="1" t="n"/>
      <c r="F10" s="1" t="n"/>
      <c r="G10" s="1" t="n"/>
      <c r="H10" s="1" t="n"/>
    </row>
    <row r="11" ht="15" customHeight="1" s="83">
      <c r="A11" s="82" t="inlineStr">
        <is>
          <t>Pre-ASP WAC exposure</t>
        </is>
      </c>
      <c r="B11" s="23">
        <f>B5*B9</f>
        <v/>
      </c>
      <c r="C11" s="1" t="n"/>
      <c r="D11" s="18" t="inlineStr">
        <is>
          <t>carve</t>
        </is>
      </c>
      <c r="E11" s="18" t="inlineStr">
        <is>
          <t>Carve-in</t>
        </is>
      </c>
      <c r="F11" s="1" t="n"/>
      <c r="G11" s="1" t="n"/>
      <c r="H11" s="1" t="n"/>
    </row>
    <row r="12" ht="15" customHeight="1" s="83">
      <c r="A12" s="82" t="inlineStr">
        <is>
          <t>Medicare pre-ASP benchmark percentage</t>
        </is>
      </c>
      <c r="B12" s="9" t="n">
        <v>1.03</v>
      </c>
      <c r="C12" s="1" t="n"/>
      <c r="D12" s="1" t="n"/>
      <c r="E12" s="18" t="inlineStr">
        <is>
          <t>Carve-out</t>
        </is>
      </c>
      <c r="F12" s="1" t="n"/>
      <c r="G12" s="1" t="n"/>
      <c r="H12" s="1" t="n"/>
    </row>
    <row r="13" ht="15" customHeight="1" s="83">
      <c r="A13" s="82" t="inlineStr">
        <is>
          <t>Medicare pre-ASP payment per administration</t>
        </is>
      </c>
      <c r="B13" s="23">
        <f>B5*B12</f>
        <v/>
      </c>
      <c r="C13" s="1" t="n"/>
      <c r="D13" s="1" t="n"/>
      <c r="E13" s="18" t="inlineStr">
        <is>
          <t>Not applicable</t>
        </is>
      </c>
      <c r="F13" s="1" t="n"/>
      <c r="G13" s="1" t="n"/>
      <c r="H13" s="1" t="n"/>
    </row>
    <row r="14" ht="15" customHeight="1" s="83">
      <c r="A14" s="82" t="inlineStr">
        <is>
          <t>OPPS pass-through effective date</t>
        </is>
      </c>
      <c r="B14" s="87" t="n">
        <v>46388</v>
      </c>
      <c r="C14" s="1" t="n"/>
      <c r="D14" s="1" t="n"/>
      <c r="E14" s="1" t="n"/>
      <c r="F14" s="1" t="n"/>
      <c r="G14" s="1" t="n"/>
      <c r="H14" s="1" t="n"/>
    </row>
    <row r="15" ht="15" customHeight="1" s="83">
      <c r="A15" s="82" t="inlineStr">
        <is>
          <t>Permanent HCPCS effective date</t>
        </is>
      </c>
      <c r="B15" s="87" t="n">
        <v>46478</v>
      </c>
      <c r="C15" s="1" t="n"/>
      <c r="D15" s="18" t="inlineStr">
        <is>
          <t>payer</t>
        </is>
      </c>
      <c r="E15" s="18" t="inlineStr">
        <is>
          <t>Commercial</t>
        </is>
      </c>
      <c r="F15" s="1" t="n"/>
      <c r="G15" s="1" t="n"/>
      <c r="H15" s="1" t="n"/>
    </row>
    <row r="16" ht="15" customHeight="1" s="83">
      <c r="A16" s="82" t="inlineStr">
        <is>
          <t>Default customer type</t>
        </is>
      </c>
      <c r="B16" s="22" t="inlineStr">
        <is>
          <t>340B center of excellence</t>
        </is>
      </c>
      <c r="C16" s="1" t="n"/>
      <c r="D16" s="1" t="n"/>
      <c r="E16" s="18" t="inlineStr">
        <is>
          <t>Medicaid FFS</t>
        </is>
      </c>
      <c r="F16" s="1" t="n"/>
      <c r="G16" s="1" t="n"/>
      <c r="H16" s="1" t="n"/>
    </row>
    <row r="17" ht="15" customHeight="1" s="83">
      <c r="A17" s="82" t="inlineStr">
        <is>
          <t>Default site of care</t>
        </is>
      </c>
      <c r="B17" s="22" t="inlineStr">
        <is>
          <t>HOPD</t>
        </is>
      </c>
      <c r="C17" s="1" t="n"/>
      <c r="D17" s="1" t="n"/>
      <c r="E17" s="18" t="inlineStr">
        <is>
          <t>Medicaid Managed Care</t>
        </is>
      </c>
      <c r="F17" s="1" t="n"/>
      <c r="G17" s="1" t="n"/>
      <c r="H17" s="1" t="n"/>
    </row>
    <row r="18" ht="15" customHeight="1" s="83">
      <c r="A18" s="82" t="inlineStr">
        <is>
          <t>Default 340B status</t>
        </is>
      </c>
      <c r="B18" s="22" t="inlineStr">
        <is>
          <t>Yes</t>
        </is>
      </c>
      <c r="C18" s="1" t="n"/>
      <c r="D18" s="1" t="n"/>
      <c r="E18" s="18" t="inlineStr">
        <is>
          <t>Dual</t>
        </is>
      </c>
      <c r="F18" s="1" t="n"/>
      <c r="G18" s="1" t="n"/>
      <c r="H18" s="1" t="n"/>
    </row>
    <row r="19" ht="15" customHeight="1" s="83">
      <c r="A19" s="6" t="n"/>
      <c r="B19" s="8" t="n"/>
      <c r="C19" s="1" t="n"/>
      <c r="D19" s="1" t="n"/>
      <c r="E19" s="18" t="inlineStr">
        <is>
          <t>Medicare</t>
        </is>
      </c>
      <c r="F19" s="1" t="n"/>
      <c r="G19" s="1" t="n"/>
      <c r="H19" s="1" t="n"/>
    </row>
    <row r="20" ht="16" customHeight="1" s="83">
      <c r="A20" s="20" t="inlineStr">
        <is>
          <t>340B Assumptions</t>
        </is>
      </c>
      <c r="B20" s="24" t="inlineStr">
        <is>
          <t>Value</t>
        </is>
      </c>
      <c r="C20" s="1" t="n"/>
      <c r="D20" s="1" t="n"/>
      <c r="E20" s="18" t="inlineStr">
        <is>
          <t>Mixed</t>
        </is>
      </c>
      <c r="F20" s="1" t="n"/>
      <c r="G20" s="1" t="n"/>
      <c r="H20" s="1" t="n"/>
    </row>
    <row r="21" ht="15" customHeight="1" s="83">
      <c r="A21" s="82" t="inlineStr">
        <is>
          <t>WAC</t>
        </is>
      </c>
      <c r="B21" s="23">
        <f>B5</f>
        <v/>
      </c>
      <c r="C21" s="1" t="n"/>
      <c r="D21" s="1" t="n"/>
      <c r="E21" s="1" t="n"/>
      <c r="F21" s="1" t="n"/>
      <c r="G21" s="1" t="n"/>
      <c r="H21" s="1" t="n"/>
    </row>
    <row r="22" ht="15" customHeight="1" s="83">
      <c r="A22" s="82" t="inlineStr">
        <is>
          <t>340B discount assumption, primary</t>
        </is>
      </c>
      <c r="B22" s="10" t="n">
        <v>0.231</v>
      </c>
      <c r="C22" s="1" t="n"/>
      <c r="D22" s="18" t="inlineStr">
        <is>
          <t>coding</t>
        </is>
      </c>
      <c r="E22" s="18" t="inlineStr">
        <is>
          <t>Pre-code / NOC</t>
        </is>
      </c>
      <c r="F22" s="1" t="n"/>
      <c r="G22" s="1" t="n"/>
      <c r="H22" s="1" t="n"/>
    </row>
    <row r="23" ht="15" customHeight="1" s="83">
      <c r="A23" s="82" t="inlineStr">
        <is>
          <t>340B acquisition, primary</t>
        </is>
      </c>
      <c r="B23" s="88">
        <f>B21*(1-B22)</f>
        <v/>
      </c>
      <c r="C23" s="1" t="n"/>
      <c r="D23" s="1" t="n"/>
      <c r="E23" s="18" t="inlineStr">
        <is>
          <t>Pass-through active</t>
        </is>
      </c>
      <c r="F23" s="1" t="n"/>
      <c r="G23" s="1" t="n"/>
      <c r="H23" s="1" t="n"/>
    </row>
    <row r="24" ht="15" customHeight="1" s="83">
      <c r="A24" s="82" t="inlineStr">
        <is>
          <t>340B discount assumption, pediatric</t>
        </is>
      </c>
      <c r="B24" s="10" t="n">
        <v>0.171</v>
      </c>
      <c r="C24" s="1" t="n"/>
      <c r="D24" s="1" t="n"/>
      <c r="E24" s="18" t="inlineStr">
        <is>
          <t>Product-specific HCPCS active</t>
        </is>
      </c>
      <c r="F24" s="1" t="n"/>
      <c r="G24" s="1" t="n"/>
      <c r="H24" s="1" t="n"/>
    </row>
    <row r="25" ht="15" customHeight="1" s="83">
      <c r="A25" s="82" t="inlineStr">
        <is>
          <t>340B acquisition, pediatric</t>
        </is>
      </c>
      <c r="B25" s="88">
        <f>B21*(1-B24)</f>
        <v/>
      </c>
      <c r="C25" s="1" t="n"/>
      <c r="D25" s="1" t="n"/>
      <c r="E25" s="1" t="n"/>
      <c r="F25" s="1" t="n"/>
      <c r="G25" s="1" t="n"/>
      <c r="H25" s="1" t="n"/>
    </row>
    <row r="26" ht="15" customHeight="1" s="83">
      <c r="A26" s="6" t="n"/>
      <c r="B26" s="8" t="n"/>
      <c r="C26" s="1" t="n"/>
      <c r="D26" s="18" t="inlineStr">
        <is>
          <t>sourcing</t>
        </is>
      </c>
      <c r="E26" s="18" t="inlineStr">
        <is>
          <t>Buy-and-bill</t>
        </is>
      </c>
      <c r="F26" s="1" t="n"/>
      <c r="G26" s="1" t="n"/>
      <c r="H26" s="1" t="n"/>
    </row>
    <row r="27" ht="16" customHeight="1" s="83">
      <c r="A27" s="20" t="inlineStr">
        <is>
          <t>Editable Assumptions</t>
        </is>
      </c>
      <c r="B27" s="24" t="inlineStr">
        <is>
          <t>Default / Input</t>
        </is>
      </c>
      <c r="C27" s="1" t="n"/>
      <c r="D27" s="1" t="n"/>
      <c r="E27" s="18" t="inlineStr">
        <is>
          <t>White-bagging</t>
        </is>
      </c>
      <c r="F27" s="1" t="n"/>
      <c r="G27" s="1" t="n"/>
      <c r="H27" s="1" t="n"/>
    </row>
    <row r="28" ht="15" customHeight="1" s="83">
      <c r="A28" s="82" t="inlineStr">
        <is>
          <t>Commercial payer mix</t>
        </is>
      </c>
      <c r="B28" s="11" t="n">
        <v>0.5</v>
      </c>
      <c r="C28" s="1" t="n"/>
      <c r="D28" s="1" t="n"/>
      <c r="E28" s="18" t="inlineStr">
        <is>
          <t>Mixed</t>
        </is>
      </c>
      <c r="F28" s="1" t="n"/>
      <c r="G28" s="1" t="n"/>
      <c r="H28" s="1" t="n"/>
    </row>
    <row r="29" ht="15" customHeight="1" s="83">
      <c r="A29" s="82" t="inlineStr">
        <is>
          <t>Medicaid payer mix</t>
        </is>
      </c>
      <c r="B29" s="11" t="n">
        <v>0.5</v>
      </c>
      <c r="C29" s="1" t="n"/>
      <c r="D29" s="1" t="n"/>
      <c r="E29" s="1" t="n"/>
      <c r="F29" s="1" t="n"/>
      <c r="G29" s="1" t="n"/>
      <c r="H29" s="1" t="n"/>
    </row>
    <row r="30" ht="15" customHeight="1" s="83">
      <c r="A30" s="82" t="inlineStr">
        <is>
          <t>Dual / other payer mix</t>
        </is>
      </c>
      <c r="B30" s="11" t="n">
        <v>0</v>
      </c>
      <c r="C30" s="1" t="n"/>
      <c r="D30" s="18" t="inlineStr">
        <is>
          <t>reimb</t>
        </is>
      </c>
      <c r="E30" s="18" t="inlineStr">
        <is>
          <t>WAC %</t>
        </is>
      </c>
      <c r="F30" s="1" t="n"/>
      <c r="G30" s="1" t="n"/>
      <c r="H30" s="1" t="n"/>
    </row>
    <row r="31" ht="15" customHeight="1" s="83">
      <c r="A31" s="84" t="inlineStr">
        <is>
          <t>Site of care</t>
        </is>
      </c>
      <c r="B31" s="26" t="inlineStr">
        <is>
          <t>HOPD</t>
        </is>
      </c>
      <c r="C31" s="1" t="n"/>
      <c r="D31" s="1" t="n"/>
      <c r="E31" s="18" t="inlineStr">
        <is>
          <t>AWP %</t>
        </is>
      </c>
      <c r="F31" s="1" t="n"/>
      <c r="G31" s="1" t="n"/>
      <c r="H31" s="1" t="n"/>
    </row>
    <row r="32" ht="15" customHeight="1" s="83">
      <c r="A32" s="82" t="inlineStr">
        <is>
          <t>340B status</t>
        </is>
      </c>
      <c r="B32" s="26" t="inlineStr">
        <is>
          <t>Yes</t>
        </is>
      </c>
      <c r="C32" s="1" t="n"/>
      <c r="D32" s="1" t="n"/>
      <c r="E32" s="18" t="inlineStr">
        <is>
          <t>ASP %</t>
        </is>
      </c>
      <c r="F32" s="1" t="n"/>
      <c r="G32" s="1" t="n"/>
      <c r="H32" s="1" t="n"/>
    </row>
    <row r="33" ht="15" customHeight="1" s="83">
      <c r="A33" s="82" t="inlineStr">
        <is>
          <t>340B carve-in / carve-out</t>
        </is>
      </c>
      <c r="B33" s="26" t="inlineStr">
        <is>
          <t>Carve-out</t>
        </is>
      </c>
      <c r="C33" s="1" t="n"/>
      <c r="D33" s="1" t="n"/>
      <c r="E33" s="18" t="inlineStr">
        <is>
          <t>Contracted rate</t>
        </is>
      </c>
      <c r="F33" s="1" t="n"/>
      <c r="G33" s="1" t="n"/>
      <c r="H33" s="1" t="n"/>
    </row>
    <row r="34" ht="15" customHeight="1" s="83">
      <c r="A34" s="84" t="inlineStr">
        <is>
          <t>Payer type</t>
        </is>
      </c>
      <c r="B34" s="26" t="inlineStr">
        <is>
          <t>Medicare</t>
        </is>
      </c>
      <c r="C34" s="1" t="n"/>
      <c r="D34" s="1" t="n"/>
      <c r="E34" s="18" t="inlineStr">
        <is>
          <t>Manual entry</t>
        </is>
      </c>
      <c r="F34" s="1" t="n"/>
      <c r="G34" s="1" t="n"/>
      <c r="H34" s="1" t="n"/>
    </row>
    <row r="35" ht="15" customHeight="1" s="83">
      <c r="A35" s="82" t="inlineStr">
        <is>
          <t>Coding status</t>
        </is>
      </c>
      <c r="B35" s="26" t="inlineStr">
        <is>
          <t>Pass-through active</t>
        </is>
      </c>
      <c r="C35" s="1" t="n"/>
      <c r="D35" s="1" t="n"/>
      <c r="E35" s="1" t="n"/>
      <c r="F35" s="1" t="n"/>
      <c r="G35" s="1" t="n"/>
      <c r="H35" s="1" t="n"/>
    </row>
    <row r="36" ht="15" customHeight="1" s="83">
      <c r="A36" s="84" t="inlineStr">
        <is>
          <t>Sourcing model</t>
        </is>
      </c>
      <c r="B36" s="26" t="inlineStr">
        <is>
          <t>Buy-and-bill</t>
        </is>
      </c>
      <c r="C36" s="1" t="n"/>
      <c r="D36" s="18" t="inlineStr">
        <is>
          <t>acq</t>
        </is>
      </c>
      <c r="E36" s="18" t="inlineStr">
        <is>
          <t>Pediatric 17.1%</t>
        </is>
      </c>
      <c r="F36" s="1" t="n"/>
      <c r="G36" s="1" t="n"/>
      <c r="H36" s="1" t="n"/>
    </row>
    <row r="37" ht="15" customHeight="1" s="83">
      <c r="A37" s="82" t="inlineStr">
        <is>
          <t>Reimbursement basis</t>
        </is>
      </c>
      <c r="B37" s="26" t="inlineStr">
        <is>
          <t>WAC %</t>
        </is>
      </c>
      <c r="C37" s="1" t="n"/>
      <c r="D37" s="1" t="n"/>
      <c r="E37" s="18" t="inlineStr">
        <is>
          <t>Pediatric 17.1%</t>
        </is>
      </c>
      <c r="F37" s="1" t="n"/>
      <c r="G37" s="1" t="n"/>
      <c r="H37" s="1" t="n"/>
    </row>
    <row r="38" ht="15" customHeight="1" s="83">
      <c r="A38" s="82" t="inlineStr">
        <is>
          <t>340B acquisition assumption</t>
        </is>
      </c>
      <c r="B38" s="26">
        <f>'Scenario Inputs'!$C$69</f>
        <v/>
      </c>
      <c r="C38" s="1" t="n"/>
      <c r="D38" s="1" t="n"/>
      <c r="E38" s="18" t="inlineStr">
        <is>
          <t>Manual entry</t>
        </is>
      </c>
      <c r="F38" s="1" t="n"/>
      <c r="G38" s="1" t="n"/>
      <c r="H38" s="1" t="n"/>
    </row>
    <row r="39" ht="15" customHeight="1" s="83">
      <c r="A39" s="82" t="inlineStr">
        <is>
          <t>White-bagging percentage</t>
        </is>
      </c>
      <c r="B39" s="27">
        <f>'Scenario Inputs'!$C$51</f>
        <v/>
      </c>
      <c r="C39" s="1" t="n"/>
      <c r="D39" s="1" t="n"/>
      <c r="E39" s="1" t="n"/>
      <c r="F39" s="1" t="n"/>
      <c r="G39" s="1" t="n"/>
      <c r="H39" s="1" t="n"/>
    </row>
    <row r="40" ht="15" customHeight="1" s="83">
      <c r="A40" s="82" t="inlineStr">
        <is>
          <t>Denial rate</t>
        </is>
      </c>
      <c r="B40" s="27">
        <f>'Scenario Inputs'!$C$52</f>
        <v/>
      </c>
      <c r="C40" s="1" t="n"/>
      <c r="D40" s="18" t="inlineStr">
        <is>
          <t>pass</t>
        </is>
      </c>
      <c r="E40" s="18" t="inlineStr">
        <is>
          <t>Active</t>
        </is>
      </c>
      <c r="F40" s="1" t="n"/>
      <c r="G40" s="1" t="n"/>
      <c r="H40" s="1" t="n"/>
    </row>
    <row r="41" ht="15" customHeight="1" s="83">
      <c r="A41" s="82" t="inlineStr">
        <is>
          <t>Appeal recovery rate</t>
        </is>
      </c>
      <c r="B41" s="27">
        <f>'Scenario Inputs'!$C$53</f>
        <v/>
      </c>
      <c r="C41" s="1" t="n"/>
      <c r="D41" s="1" t="n"/>
      <c r="E41" s="18" t="inlineStr">
        <is>
          <t>Not active</t>
        </is>
      </c>
      <c r="F41" s="1" t="n"/>
      <c r="G41" s="1" t="n"/>
      <c r="H41" s="1" t="n"/>
    </row>
    <row r="42" ht="15" customHeight="1" s="83">
      <c r="A42" s="82" t="inlineStr">
        <is>
          <t>Days to payment</t>
        </is>
      </c>
      <c r="B42" s="28">
        <f>'Scenario Inputs'!$C$54</f>
        <v/>
      </c>
      <c r="C42" s="1" t="n"/>
      <c r="D42" s="1" t="n"/>
      <c r="E42" s="18" t="inlineStr">
        <is>
          <t>Not applicable</t>
        </is>
      </c>
      <c r="F42" s="1" t="n"/>
      <c r="G42" s="1" t="n"/>
      <c r="H42" s="1" t="n"/>
    </row>
    <row r="43" ht="15" customHeight="1" s="83">
      <c r="A43" s="82" t="inlineStr">
        <is>
          <t>Labor cost per administration</t>
        </is>
      </c>
      <c r="B43" s="29">
        <f>'Scenario Inputs'!$C$55</f>
        <v/>
      </c>
      <c r="C43" s="1" t="n"/>
      <c r="D43" s="1" t="n"/>
      <c r="E43" s="1" t="n"/>
      <c r="F43" s="1" t="n"/>
      <c r="G43" s="1" t="n"/>
      <c r="H43" s="1" t="n"/>
    </row>
    <row r="44" ht="15" customHeight="1" s="83">
      <c r="A44" s="82" t="inlineStr">
        <is>
          <t>Pharmacy handling cost per administration</t>
        </is>
      </c>
      <c r="B44" s="29">
        <f>'Scenario Inputs'!$C$56</f>
        <v/>
      </c>
      <c r="C44" s="1" t="n"/>
      <c r="D44" s="18" t="inlineStr">
        <is>
          <t>aspStatus</t>
        </is>
      </c>
      <c r="E44" s="18" t="inlineStr">
        <is>
          <t>Pre-ASP</t>
        </is>
      </c>
      <c r="F44" s="1" t="n"/>
      <c r="G44" s="1" t="n"/>
      <c r="H44" s="1" t="n"/>
    </row>
    <row r="45" ht="15" customHeight="1" s="83">
      <c r="A45" s="82" t="inlineStr">
        <is>
          <t>Billing/admin cost per administration</t>
        </is>
      </c>
      <c r="B45" s="29">
        <f>'Scenario Inputs'!$C$57</f>
        <v/>
      </c>
      <c r="C45" s="1" t="n"/>
      <c r="D45" s="1" t="n"/>
      <c r="E45" s="18" t="inlineStr">
        <is>
          <t>ASP available</t>
        </is>
      </c>
      <c r="F45" s="1" t="n"/>
      <c r="G45" s="1" t="n"/>
      <c r="H45" s="1" t="n"/>
    </row>
    <row r="46" ht="15" customHeight="1" s="83">
      <c r="A46" s="82" t="inlineStr">
        <is>
          <t>Other non-drug operating cost</t>
        </is>
      </c>
      <c r="B46" s="29">
        <f>'Scenario Inputs'!$C$58</f>
        <v/>
      </c>
      <c r="C46" s="1" t="n"/>
      <c r="D46" s="1" t="n"/>
      <c r="E46" s="1" t="n"/>
      <c r="F46" s="1" t="n"/>
      <c r="G46" s="1" t="n"/>
      <c r="H46" s="1" t="n"/>
    </row>
    <row r="47" ht="15" customHeight="1" s="83">
      <c r="A47" s="82" t="inlineStr">
        <is>
          <t>Procedure revenue per administration</t>
        </is>
      </c>
      <c r="B47" s="29">
        <f>'Scenario Inputs'!$C$59</f>
        <v/>
      </c>
      <c r="C47" s="1" t="n"/>
      <c r="D47" s="18" t="inlineStr">
        <is>
          <t>pa</t>
        </is>
      </c>
      <c r="E47" s="18" t="inlineStr">
        <is>
          <t>Confirmed</t>
        </is>
      </c>
      <c r="F47" s="1" t="n"/>
      <c r="G47" s="1" t="n"/>
      <c r="H47" s="1" t="n"/>
    </row>
    <row r="48" ht="15" customHeight="1" s="83">
      <c r="A48" s="82" t="inlineStr">
        <is>
          <t>Wastage cost per administration</t>
        </is>
      </c>
      <c r="B48" s="29">
        <f>'Scenario Inputs'!$C$60</f>
        <v/>
      </c>
      <c r="C48" s="1" t="n"/>
      <c r="D48" s="1" t="n"/>
      <c r="E48" s="18" t="inlineStr">
        <is>
          <t>Not confirmed</t>
        </is>
      </c>
      <c r="F48" s="1" t="n"/>
      <c r="G48" s="1" t="n"/>
      <c r="H48" s="1" t="n"/>
    </row>
    <row r="49" ht="15" customHeight="1" s="83">
      <c r="A49" s="82" t="inlineStr">
        <is>
          <t>Financing rate</t>
        </is>
      </c>
      <c r="B49" s="27">
        <f>'Scenario Inputs'!$C$61</f>
        <v/>
      </c>
      <c r="C49" s="1" t="n"/>
      <c r="D49" s="1" t="n"/>
      <c r="E49" s="1" t="n"/>
      <c r="F49" s="1" t="n"/>
      <c r="G49" s="1" t="n"/>
      <c r="H49" s="1" t="n"/>
    </row>
    <row r="50" ht="15" customHeight="1" s="83">
      <c r="A50" s="82" t="inlineStr">
        <is>
          <t>Manufacturer support per administration</t>
        </is>
      </c>
      <c r="B50" s="29">
        <f>'Scenario Inputs'!$C$62</f>
        <v/>
      </c>
      <c r="C50" s="1" t="n"/>
      <c r="D50" s="1" t="n"/>
      <c r="E50" s="1" t="n"/>
      <c r="F50" s="1" t="n"/>
      <c r="G50" s="1" t="n"/>
      <c r="H50" s="1" t="n"/>
    </row>
    <row r="51" ht="15" customHeight="1" s="83">
      <c r="A51" s="82" t="inlineStr">
        <is>
          <t>Manual allowed amount</t>
        </is>
      </c>
      <c r="B51" s="29">
        <f>'Scenario Inputs'!$C$63</f>
        <v/>
      </c>
      <c r="C51" s="1" t="n"/>
      <c r="D51" s="1" t="n"/>
      <c r="E51" s="1" t="n"/>
      <c r="F51" s="1" t="n"/>
      <c r="G51" s="1" t="n"/>
      <c r="H51" s="1" t="n"/>
    </row>
    <row r="52" ht="15" customHeight="1" s="83">
      <c r="A52" s="82" t="inlineStr">
        <is>
          <t>Contracted rate</t>
        </is>
      </c>
      <c r="B52" s="29">
        <f>'Scenario Inputs'!$C$64</f>
        <v/>
      </c>
      <c r="C52" s="1" t="n"/>
      <c r="D52" s="1" t="n"/>
      <c r="E52" s="1" t="n"/>
      <c r="F52" s="1" t="n"/>
      <c r="G52" s="1" t="n"/>
      <c r="H52" s="1" t="n"/>
    </row>
    <row r="53" ht="15" customHeight="1" s="83">
      <c r="A53" s="82" t="inlineStr">
        <is>
          <t>AWP</t>
        </is>
      </c>
      <c r="B53" s="29">
        <f>'Scenario Inputs'!$C$65</f>
        <v/>
      </c>
      <c r="C53" s="1" t="n"/>
      <c r="D53" s="1" t="n"/>
      <c r="E53" s="1" t="n"/>
      <c r="F53" s="1" t="n"/>
      <c r="G53" s="1" t="n"/>
      <c r="H53" s="1" t="n"/>
    </row>
    <row r="54" ht="15" customHeight="1" s="83">
      <c r="A54" s="82" t="inlineStr">
        <is>
          <t>ASP</t>
        </is>
      </c>
      <c r="B54" s="29">
        <f>'Scenario Inputs'!$C$66</f>
        <v/>
      </c>
      <c r="C54" s="1" t="n"/>
      <c r="D54" s="1" t="n"/>
      <c r="E54" s="1" t="n"/>
      <c r="F54" s="1" t="n"/>
      <c r="G54" s="1" t="n"/>
      <c r="H54" s="1" t="n"/>
    </row>
    <row r="55" ht="15" customHeight="1" s="83">
      <c r="A55" s="82" t="inlineStr">
        <is>
          <t>Manual 340B acquisition</t>
        </is>
      </c>
      <c r="B55" s="29">
        <f>'Scenario Inputs'!$C$67</f>
        <v/>
      </c>
      <c r="C55" s="1" t="n"/>
      <c r="D55" s="1" t="n"/>
      <c r="E55" s="1" t="n"/>
      <c r="F55" s="1" t="n"/>
      <c r="G55" s="1" t="n"/>
      <c r="H55" s="1" t="n"/>
    </row>
    <row r="56" ht="15" customHeight="1" s="83">
      <c r="A56" s="82" t="inlineStr">
        <is>
          <t>Reimbursement percentage</t>
        </is>
      </c>
      <c r="B56" s="27">
        <f>'Scenario Inputs'!$C$68</f>
        <v/>
      </c>
      <c r="C56" s="1" t="n"/>
      <c r="D56" s="1" t="n"/>
      <c r="E56" s="1" t="n"/>
      <c r="F56" s="1" t="n"/>
      <c r="G56" s="1" t="n"/>
      <c r="H56" s="1" t="n"/>
    </row>
  </sheetData>
  <mergeCells count="1">
    <mergeCell ref="A1:H1"/>
  </mergeCells>
  <dataValidations count="8">
    <dataValidation sqref="B31" showDropDown="0" showInputMessage="0" showErrorMessage="0" allowBlank="0" type="list">
      <formula1>"HOPD,Physician Office,Other"</formula1>
    </dataValidation>
    <dataValidation sqref="B32" showDropDown="0" showInputMessage="0" showErrorMessage="0" allowBlank="0" type="list">
      <formula1>"Yes,No"</formula1>
    </dataValidation>
    <dataValidation sqref="B33" showDropDown="0" showInputMessage="0" showErrorMessage="0" allowBlank="0" type="list">
      <formula1>"Carve-in,Carve-out"</formula1>
    </dataValidation>
    <dataValidation sqref="B34" showDropDown="0" showInputMessage="0" showErrorMessage="0" allowBlank="0" type="list">
      <formula1>"Commercial,Medicaid FFS,Medicaid Managed Care,Dual,Medicare,Mixed"</formula1>
    </dataValidation>
    <dataValidation sqref="B35" showDropDown="0" showInputMessage="0" showErrorMessage="0" allowBlank="0" type="list">
      <formula1>"Pre-code / NOC,Pass-through active,Product-specific HCPCS active"</formula1>
    </dataValidation>
    <dataValidation sqref="B36" showDropDown="0" showInputMessage="0" showErrorMessage="0" allowBlank="0" type="list">
      <formula1>"Buy-and-bill,White-bagging,Mixed"</formula1>
    </dataValidation>
    <dataValidation sqref="B37" showDropDown="0" showInputMessage="0" showErrorMessage="0" allowBlank="0" type="list">
      <formula1>"WAC %,AWP %,ASP %,Contracted rate,Manual entry"</formula1>
    </dataValidation>
    <dataValidation sqref="B38" showDropDown="0" showInputMessage="0" showErrorMessage="0" allowBlank="0" type="list">
      <formula1>"Primary 23.1%,Pediatric 17.1%,Manual entry"</formula1>
    </dataValidation>
  </dataValidations>
  <pageMargins left="0.6" right="0.6" top="0.7" bottom="0.7" header="0.2" footer="0.2"/>
  <pageSetup orientation="portrait"/>
</worksheet>
</file>

<file path=xl/worksheets/sheet3.xml><?xml version="1.0" encoding="utf-8"?>
<worksheet xmlns="http://schemas.openxmlformats.org/spreadsheetml/2006/main">
  <sheetPr>
    <outlinePr summaryBelow="1" summaryRight="1"/>
    <pageSetUpPr/>
  </sheetPr>
  <dimension ref="A1:T69"/>
  <sheetViews>
    <sheetView showGridLines="0" tabSelected="1" zoomScale="115" workbookViewId="0">
      <pane ySplit="4" topLeftCell="A121" activePane="bottomLeft" state="frozen"/>
      <selection pane="bottomLeft" activeCell="A18" sqref="A18"/>
    </sheetView>
  </sheetViews>
  <sheetFormatPr baseColWidth="10" defaultColWidth="8.83203125" defaultRowHeight="14"/>
  <cols>
    <col width="40" customWidth="1" style="83" min="1" max="1"/>
    <col width="28" customWidth="1" style="83" min="2" max="2"/>
    <col width="24" customWidth="1" style="83" min="3" max="3"/>
    <col width="28" customWidth="1" style="83" min="4" max="4"/>
    <col width="16" customWidth="1" style="83" min="5" max="5"/>
    <col width="18" customWidth="1" style="83" min="6" max="6"/>
    <col width="16" customWidth="1" style="83" min="7" max="7"/>
    <col width="14" customWidth="1" style="83" min="8" max="9"/>
    <col width="21.5" customWidth="1" style="83" min="10" max="10"/>
    <col width="29.5" customWidth="1" style="83" min="11" max="11"/>
    <col width="28.5" customWidth="1" style="83" min="12" max="12"/>
    <col width="15" customWidth="1" style="83" min="13" max="13"/>
    <col width="26" customWidth="1" style="83" min="14" max="14"/>
    <col width="10" customWidth="1" style="83" min="15" max="17"/>
    <col width="17.5" customWidth="1" style="83" min="18" max="19"/>
    <col width="24.5" customWidth="1" style="83" min="20" max="20"/>
  </cols>
  <sheetData>
    <row r="1" ht="17" customHeight="1" s="83">
      <c r="A1" s="86" t="inlineStr">
        <is>
          <t>Scenario Inputs</t>
        </is>
      </c>
      <c r="I1" s="1" t="n"/>
      <c r="J1" s="1" t="n"/>
      <c r="K1" s="1" t="n"/>
      <c r="L1" s="1" t="n"/>
      <c r="M1" s="1" t="n"/>
      <c r="N1" s="1" t="n"/>
      <c r="O1" s="1" t="n"/>
      <c r="P1" s="1" t="n"/>
      <c r="Q1" s="1" t="n"/>
      <c r="R1" s="1" t="n"/>
      <c r="S1" s="1" t="n"/>
      <c r="T1" s="1" t="n"/>
    </row>
    <row r="2" ht="15" customHeight="1" s="83">
      <c r="A2" s="37" t="inlineStr">
        <is>
          <t>Select Scenario Preset</t>
        </is>
      </c>
      <c r="B2" s="38" t="inlineStr">
        <is>
          <t>Base Case: 340B COE HOPD, Buy-and-Bill</t>
        </is>
      </c>
      <c r="C2" s="1" t="n"/>
      <c r="D2" s="1" t="n"/>
      <c r="E2" s="1" t="n"/>
      <c r="F2" s="1" t="n"/>
      <c r="G2" s="1" t="n"/>
      <c r="H2" s="1" t="n"/>
      <c r="I2" s="1" t="n"/>
      <c r="J2" s="1" t="n"/>
      <c r="K2" s="1" t="n"/>
      <c r="L2" s="1" t="n"/>
      <c r="M2" s="1" t="n"/>
      <c r="N2" s="1" t="n"/>
      <c r="O2" s="1" t="n"/>
      <c r="P2" s="1" t="n"/>
      <c r="Q2" s="1" t="n"/>
      <c r="R2" s="1" t="n"/>
      <c r="S2" s="1" t="n"/>
      <c r="T2" s="1" t="n"/>
    </row>
    <row r="3" ht="15" customHeight="1" s="83">
      <c r="A3" s="1" t="n"/>
      <c r="B3" s="1" t="n"/>
      <c r="C3" s="1" t="n"/>
      <c r="D3" s="1" t="n"/>
      <c r="E3" s="1" t="n"/>
      <c r="F3" s="1" t="n"/>
      <c r="G3" s="1" t="n"/>
      <c r="H3" s="1" t="n"/>
      <c r="I3" s="1" t="n"/>
      <c r="J3" s="1" t="n"/>
      <c r="K3" s="1" t="n"/>
      <c r="L3" s="1" t="n"/>
      <c r="M3" s="1" t="n"/>
      <c r="N3" s="1" t="n"/>
      <c r="O3" s="1" t="n"/>
      <c r="P3" s="1" t="n"/>
      <c r="Q3" s="1" t="n"/>
      <c r="R3" s="1" t="n"/>
      <c r="S3" s="1" t="n"/>
      <c r="T3" s="1" t="n"/>
    </row>
    <row r="4" ht="15" customHeight="1" s="83">
      <c r="A4" s="39" t="inlineStr">
        <is>
          <t>Scenario Field</t>
        </is>
      </c>
      <c r="B4" s="40" t="inlineStr">
        <is>
          <t>Manual Override</t>
        </is>
      </c>
      <c r="C4" s="40" t="inlineStr">
        <is>
          <t>Preset Value</t>
        </is>
      </c>
      <c r="D4" s="40" t="inlineStr">
        <is>
          <t>Active Value</t>
        </is>
      </c>
      <c r="E4" s="1" t="n"/>
      <c r="F4" s="1" t="n"/>
      <c r="G4" s="1" t="n"/>
      <c r="H4" s="1" t="n"/>
      <c r="I4" s="1" t="n"/>
      <c r="J4" s="1" t="n"/>
      <c r="K4" s="1" t="n"/>
      <c r="L4" s="1" t="n"/>
      <c r="M4" s="1" t="n"/>
      <c r="N4" s="1" t="n"/>
      <c r="O4" s="1" t="n"/>
      <c r="P4" s="1" t="n"/>
      <c r="Q4" s="1" t="n"/>
      <c r="R4" s="1" t="n"/>
      <c r="S4" s="1" t="n"/>
      <c r="T4" s="1" t="n"/>
    </row>
    <row r="5" ht="15" customHeight="1" s="83">
      <c r="A5" s="39" t="inlineStr">
        <is>
          <t>Site of care</t>
        </is>
      </c>
      <c r="B5" s="41" t="inlineStr">
        <is>
          <t>HOPD</t>
        </is>
      </c>
      <c r="C5" s="42">
        <f>INDEX($B$32:$L$40,MATCH($B$2,$A$32:$A$40,0),1)</f>
        <v/>
      </c>
      <c r="D5" s="43">
        <f>IF(B5&lt;&gt;"",B5,C5)</f>
        <v/>
      </c>
      <c r="E5" s="1" t="n"/>
      <c r="F5" s="1" t="n"/>
      <c r="G5" s="1" t="n"/>
      <c r="H5" s="1" t="n"/>
      <c r="I5" s="1" t="n"/>
      <c r="J5" s="1" t="n"/>
      <c r="K5" s="1" t="n"/>
      <c r="L5" s="1" t="n"/>
      <c r="M5" s="1" t="n"/>
      <c r="N5" s="1" t="n"/>
      <c r="O5" s="1" t="n"/>
      <c r="P5" s="1" t="n"/>
      <c r="Q5" s="1" t="n"/>
      <c r="R5" s="1" t="n"/>
      <c r="S5" s="1" t="n"/>
      <c r="T5" s="1" t="n"/>
    </row>
    <row r="6" ht="15" customHeight="1" s="83">
      <c r="A6" s="39" t="inlineStr">
        <is>
          <t>Payer type</t>
        </is>
      </c>
      <c r="B6" s="44" t="n"/>
      <c r="C6" s="42">
        <f>INDEX($B$32:$L$40,MATCH($B$2,$A$32:$A$40,0),2)</f>
        <v/>
      </c>
      <c r="D6" s="43">
        <f>IF(B6&lt;&gt;"",B6,C6)</f>
        <v/>
      </c>
      <c r="E6" s="1" t="n"/>
      <c r="F6" s="1" t="n"/>
      <c r="G6" s="1" t="n"/>
      <c r="H6" s="1" t="n"/>
      <c r="I6" s="1" t="n"/>
      <c r="J6" s="1" t="n"/>
      <c r="K6" s="1" t="n"/>
      <c r="L6" s="1" t="n"/>
      <c r="M6" s="1" t="n"/>
      <c r="N6" s="1" t="n"/>
      <c r="O6" s="1" t="n"/>
      <c r="P6" s="1" t="n"/>
      <c r="Q6" s="1" t="n"/>
      <c r="R6" s="1" t="n"/>
      <c r="S6" s="1" t="n"/>
      <c r="T6" s="1" t="n"/>
    </row>
    <row r="7" ht="15" customHeight="1" s="83">
      <c r="A7" s="45" t="inlineStr">
        <is>
          <t>340B status</t>
        </is>
      </c>
      <c r="B7" s="41" t="inlineStr">
        <is>
          <t>Yes</t>
        </is>
      </c>
      <c r="C7" s="42">
        <f>INDEX($B$32:$L$40,MATCH($B$2,$A$32:$A$40,0),3)</f>
        <v/>
      </c>
      <c r="D7" s="43">
        <f>IF(B7&lt;&gt;"",B7,C7)</f>
        <v/>
      </c>
      <c r="E7" s="1" t="n"/>
      <c r="F7" s="1" t="n"/>
      <c r="G7" s="1" t="n"/>
      <c r="H7" s="1" t="n"/>
      <c r="I7" s="1" t="n"/>
      <c r="J7" s="1" t="n"/>
      <c r="K7" s="1" t="n"/>
      <c r="L7" s="1" t="n"/>
      <c r="M7" s="1" t="n"/>
      <c r="N7" s="1" t="n"/>
      <c r="O7" s="1" t="n"/>
      <c r="P7" s="1" t="n"/>
      <c r="Q7" s="1" t="n"/>
      <c r="R7" s="1" t="n"/>
      <c r="S7" s="1" t="n"/>
      <c r="T7" s="1" t="n"/>
    </row>
    <row r="8" ht="15" customHeight="1" s="83">
      <c r="A8" s="45" t="inlineStr">
        <is>
          <t>340B treatment</t>
        </is>
      </c>
      <c r="B8" s="41" t="inlineStr">
        <is>
          <t>Carve-out</t>
        </is>
      </c>
      <c r="C8" s="42">
        <f>INDEX($B$32:$L$40,MATCH($B$2,$A$32:$A$40,0),4)</f>
        <v/>
      </c>
      <c r="D8" s="43">
        <f>IF(B8&lt;&gt;"",B8,C8)</f>
        <v/>
      </c>
      <c r="E8" s="1" t="n"/>
      <c r="F8" s="1" t="n"/>
      <c r="G8" s="1" t="n"/>
      <c r="H8" s="1" t="n"/>
      <c r="I8" s="1" t="n"/>
      <c r="J8" s="1" t="n"/>
      <c r="K8" s="1" t="n"/>
      <c r="L8" s="1" t="n"/>
      <c r="M8" s="1" t="n"/>
      <c r="N8" s="1" t="n"/>
      <c r="O8" s="1" t="n"/>
      <c r="P8" s="1" t="n"/>
      <c r="Q8" s="1" t="n"/>
      <c r="R8" s="1" t="n"/>
      <c r="S8" s="1" t="n"/>
      <c r="T8" s="1" t="n"/>
    </row>
    <row r="9" ht="15" customHeight="1" s="83">
      <c r="A9" s="45" t="inlineStr">
        <is>
          <t>Coding status</t>
        </is>
      </c>
      <c r="B9" s="41" t="inlineStr">
        <is>
          <t>Pass-through active</t>
        </is>
      </c>
      <c r="C9" s="42">
        <f>INDEX($B$32:$L$40,MATCH($B$2,$A$32:$A$40,0),5)</f>
        <v/>
      </c>
      <c r="D9" s="43">
        <f>IF(B9&lt;&gt;"",B9,C9)</f>
        <v/>
      </c>
      <c r="E9" s="1" t="n"/>
      <c r="F9" s="1" t="n"/>
      <c r="G9" s="1" t="n"/>
      <c r="H9" s="1" t="n"/>
      <c r="I9" s="1" t="n"/>
      <c r="J9" s="1" t="n"/>
      <c r="K9" s="1" t="n"/>
      <c r="L9" s="1" t="n"/>
      <c r="M9" s="1" t="n"/>
      <c r="N9" s="1" t="n"/>
      <c r="O9" s="1" t="n"/>
      <c r="P9" s="1" t="n"/>
      <c r="Q9" s="1" t="n"/>
      <c r="R9" s="1" t="n"/>
      <c r="S9" s="1" t="n"/>
      <c r="T9" s="1" t="n"/>
    </row>
    <row r="10" ht="15" customHeight="1" s="83">
      <c r="A10" s="45" t="inlineStr">
        <is>
          <t>OPPS pass-through status</t>
        </is>
      </c>
      <c r="B10" s="41" t="inlineStr">
        <is>
          <t>Active</t>
        </is>
      </c>
      <c r="C10" s="42">
        <f>INDEX($B$32:$L$40,MATCH($B$2,$A$32:$A$40,0),6)</f>
        <v/>
      </c>
      <c r="D10" s="43">
        <f>IF(B10&lt;&gt;"",B10,C10)</f>
        <v/>
      </c>
      <c r="E10" s="1" t="n"/>
      <c r="F10" s="1" t="n"/>
      <c r="G10" s="1" t="n"/>
      <c r="H10" s="1" t="n"/>
      <c r="I10" s="1" t="n"/>
      <c r="J10" s="1" t="n"/>
      <c r="K10" s="1" t="n"/>
      <c r="L10" s="1" t="n"/>
      <c r="M10" s="1" t="n"/>
      <c r="N10" s="1" t="n"/>
      <c r="O10" s="1" t="n"/>
      <c r="P10" s="1" t="n"/>
      <c r="Q10" s="1" t="n"/>
      <c r="R10" s="1" t="n"/>
      <c r="S10" s="1" t="n"/>
      <c r="T10" s="1" t="n"/>
    </row>
    <row r="11" ht="15" customHeight="1" s="83">
      <c r="A11" s="39" t="inlineStr">
        <is>
          <t>Sourcing model</t>
        </is>
      </c>
      <c r="B11" s="41" t="inlineStr">
        <is>
          <t>Buy-and-bill</t>
        </is>
      </c>
      <c r="C11" s="42">
        <f>INDEX($B$32:$L$40,MATCH($B$2,$A$32:$A$40,0),7)</f>
        <v/>
      </c>
      <c r="D11" s="43">
        <f>IF(B11&lt;&gt;"",B11,C11)</f>
        <v/>
      </c>
      <c r="E11" s="1" t="n"/>
      <c r="F11" s="1" t="n"/>
      <c r="G11" s="1" t="n"/>
      <c r="H11" s="1" t="n"/>
      <c r="I11" s="1" t="n"/>
      <c r="J11" s="1" t="n"/>
      <c r="K11" s="1" t="n"/>
      <c r="L11" s="1" t="n"/>
      <c r="M11" s="1" t="n"/>
      <c r="N11" s="1" t="n"/>
      <c r="O11" s="1" t="n"/>
      <c r="P11" s="1" t="n"/>
      <c r="Q11" s="1" t="n"/>
      <c r="R11" s="1" t="n"/>
      <c r="S11" s="1" t="n"/>
      <c r="T11" s="1" t="n"/>
    </row>
    <row r="12" ht="15" customHeight="1" s="83">
      <c r="A12" s="45" t="inlineStr">
        <is>
          <t>ASP status</t>
        </is>
      </c>
      <c r="B12" s="41" t="inlineStr">
        <is>
          <t>Pre-ASP</t>
        </is>
      </c>
      <c r="C12" s="42">
        <f>INDEX($B$32:$L$40,MATCH($B$2,$A$32:$A$40,0),8)</f>
        <v/>
      </c>
      <c r="D12" s="43">
        <f>IF(B12&lt;&gt;"",B12,C12)</f>
        <v/>
      </c>
      <c r="E12" s="1" t="n"/>
      <c r="F12" s="1" t="n"/>
      <c r="G12" s="1" t="n"/>
      <c r="H12" s="1" t="n"/>
      <c r="I12" s="1" t="n"/>
      <c r="J12" s="1" t="n"/>
      <c r="K12" s="1" t="n"/>
      <c r="L12" s="1" t="n"/>
      <c r="M12" s="1" t="n"/>
      <c r="N12" s="1" t="n"/>
      <c r="O12" s="1" t="n"/>
      <c r="P12" s="1" t="n"/>
      <c r="Q12" s="1" t="n"/>
      <c r="R12" s="1" t="n"/>
      <c r="S12" s="1" t="n"/>
      <c r="T12" s="1" t="n"/>
    </row>
    <row r="13" ht="15" customHeight="1" s="83">
      <c r="A13" s="45" t="inlineStr">
        <is>
          <t>Reimbursement basis</t>
        </is>
      </c>
      <c r="B13" s="41" t="inlineStr">
        <is>
          <t>WAC %</t>
        </is>
      </c>
      <c r="C13" s="42">
        <f>INDEX($B$32:$L$40,MATCH($B$2,$A$32:$A$40,0),9)</f>
        <v/>
      </c>
      <c r="D13" s="43">
        <f>IF(B13&lt;&gt;"",B13,C13)</f>
        <v/>
      </c>
      <c r="E13" s="1" t="n"/>
      <c r="F13" s="1" t="n"/>
      <c r="G13" s="1" t="n"/>
      <c r="H13" s="1" t="n"/>
      <c r="I13" s="1" t="n"/>
      <c r="J13" s="1" t="n"/>
      <c r="K13" s="1" t="n"/>
      <c r="L13" s="1" t="n"/>
      <c r="M13" s="1" t="n"/>
      <c r="N13" s="1" t="n"/>
      <c r="O13" s="1" t="n"/>
      <c r="P13" s="1" t="n"/>
      <c r="Q13" s="1" t="n"/>
      <c r="R13" s="1" t="n"/>
      <c r="S13" s="1" t="n"/>
      <c r="T13" s="1" t="n"/>
    </row>
    <row r="14" ht="15" customHeight="1" s="83">
      <c r="A14" s="45" t="inlineStr">
        <is>
          <t>340B acquisition assumption</t>
        </is>
      </c>
      <c r="B14" s="41" t="inlineStr">
        <is>
          <t>Primary 23.1%</t>
        </is>
      </c>
      <c r="C14" s="42">
        <f>INDEX($B$32:$L$40,MATCH($B$2,$A$32:$A$40,0),10)</f>
        <v/>
      </c>
      <c r="D14" s="43">
        <f>IF(B14&lt;&gt;"",B14,C14)</f>
        <v/>
      </c>
      <c r="E14" s="1" t="n"/>
      <c r="F14" s="1" t="n"/>
      <c r="G14" s="1" t="n"/>
      <c r="H14" s="1" t="n"/>
      <c r="I14" s="1" t="n"/>
      <c r="J14" s="1" t="n"/>
      <c r="K14" s="1" t="n"/>
      <c r="L14" s="1" t="n"/>
      <c r="M14" s="1" t="n"/>
      <c r="N14" s="1" t="n"/>
      <c r="O14" s="1" t="n"/>
      <c r="P14" s="1" t="n"/>
      <c r="Q14" s="1" t="n"/>
      <c r="R14" s="1" t="n"/>
      <c r="S14" s="1" t="n"/>
      <c r="T14" s="1" t="n"/>
    </row>
    <row r="15" ht="15" customHeight="1" s="83">
      <c r="A15" s="45" t="inlineStr">
        <is>
          <t>Prior authorization status</t>
        </is>
      </c>
      <c r="B15" s="41" t="inlineStr">
        <is>
          <t>Confirmed</t>
        </is>
      </c>
      <c r="C15" s="42">
        <f>INDEX($B$32:$L$40,MATCH($B$2,$A$32:$A$40,0),11)</f>
        <v/>
      </c>
      <c r="D15" s="43">
        <f>IF(B15&lt;&gt;"",B15,C15)</f>
        <v/>
      </c>
      <c r="E15" s="1" t="n"/>
      <c r="F15" s="1" t="n"/>
      <c r="G15" s="1" t="n"/>
      <c r="H15" s="1" t="n"/>
      <c r="I15" s="1" t="n"/>
      <c r="J15" s="1" t="n"/>
      <c r="K15" s="1" t="n"/>
      <c r="L15" s="1" t="n"/>
      <c r="M15" s="1" t="n"/>
      <c r="N15" s="1" t="n"/>
      <c r="O15" s="1" t="n"/>
      <c r="P15" s="1" t="n"/>
      <c r="Q15" s="1" t="n"/>
      <c r="R15" s="1" t="n"/>
      <c r="S15" s="1" t="n"/>
      <c r="T15" s="1" t="n"/>
    </row>
    <row r="16" ht="15" customHeight="1" s="83">
      <c r="A16" s="1" t="n"/>
      <c r="B16" s="1" t="n"/>
      <c r="C16" s="1" t="n"/>
      <c r="D16" s="1" t="n"/>
      <c r="E16" s="1" t="n"/>
      <c r="F16" s="1" t="n"/>
      <c r="G16" s="1" t="n"/>
      <c r="H16" s="1" t="n"/>
      <c r="I16" s="1" t="n"/>
      <c r="J16" s="1" t="n"/>
      <c r="K16" s="1" t="n"/>
      <c r="L16" s="1" t="n"/>
      <c r="M16" s="1" t="n"/>
      <c r="N16" s="1" t="n"/>
      <c r="O16" s="1" t="n"/>
      <c r="P16" s="1" t="n"/>
      <c r="Q16" s="1" t="n"/>
      <c r="R16" s="1" t="n"/>
      <c r="S16" s="1" t="n"/>
      <c r="T16" s="1" t="n"/>
    </row>
    <row r="17" ht="15" customHeight="1" s="83">
      <c r="A17" s="1" t="n"/>
      <c r="B17" s="1" t="n"/>
      <c r="C17" s="1" t="n"/>
      <c r="D17" s="1" t="n"/>
      <c r="E17" s="1" t="n"/>
      <c r="F17" s="1" t="n"/>
      <c r="G17" s="1" t="n"/>
      <c r="H17" s="1" t="n"/>
      <c r="I17" s="1" t="n"/>
      <c r="J17" s="1" t="n"/>
      <c r="K17" s="1" t="n"/>
      <c r="L17" s="1" t="n"/>
      <c r="M17" s="1" t="n"/>
      <c r="N17" s="1" t="n"/>
      <c r="O17" s="1" t="n"/>
      <c r="P17" s="1" t="n"/>
      <c r="Q17" s="1" t="n"/>
      <c r="R17" s="1" t="n"/>
      <c r="S17" s="1" t="n"/>
      <c r="T17" s="1" t="n"/>
    </row>
    <row r="18" ht="77" customHeight="1" s="83">
      <c r="A18" s="37" t="inlineStr">
        <is>
          <t>Scenario Logic</t>
        </is>
      </c>
      <c r="B18" s="46" t="inlineStr">
        <is>
          <t>Selected preset fills Preset Value. Active Value uses Manual Override when provided, otherwise Preset Value.</t>
        </is>
      </c>
      <c r="C18" s="14" t="n"/>
      <c r="D18" s="14" t="n"/>
      <c r="E18" s="1" t="n"/>
      <c r="F18" s="1" t="n"/>
      <c r="G18" s="1" t="n"/>
      <c r="H18" s="1" t="n"/>
      <c r="I18" s="1" t="n"/>
      <c r="J18" s="1" t="n"/>
      <c r="K18" s="1" t="n"/>
      <c r="L18" s="1" t="n"/>
      <c r="M18" s="1" t="n"/>
      <c r="N18" s="1" t="n"/>
      <c r="O18" s="1" t="n"/>
      <c r="P18" s="1" t="n"/>
      <c r="Q18" s="1" t="n"/>
      <c r="R18" s="1" t="n"/>
      <c r="S18" s="1" t="n"/>
      <c r="T18" s="1" t="n"/>
    </row>
    <row r="19" ht="30" customHeight="1" s="83">
      <c r="A19" s="47" t="inlineStr">
        <is>
          <t>Default scenario</t>
        </is>
      </c>
      <c r="B19" s="47" t="inlineStr">
        <is>
          <t>340B COE HOPD, Pass-Through Active</t>
        </is>
      </c>
      <c r="C19" s="5" t="n"/>
      <c r="D19" s="5" t="n"/>
      <c r="E19" s="1" t="n"/>
      <c r="F19" s="1" t="n"/>
      <c r="G19" s="1" t="n"/>
      <c r="H19" s="1" t="n"/>
      <c r="I19" s="1" t="n"/>
      <c r="J19" s="1" t="n"/>
      <c r="K19" s="1" t="n"/>
      <c r="L19" s="1" t="n"/>
      <c r="M19" s="1" t="n"/>
      <c r="N19" s="1" t="n"/>
      <c r="O19" s="1" t="n"/>
      <c r="P19" s="1" t="n"/>
      <c r="Q19" s="1" t="n"/>
      <c r="R19" s="1" t="n"/>
      <c r="S19" s="1" t="n"/>
      <c r="T19" s="1" t="n"/>
    </row>
    <row r="20" ht="15" customHeight="1" s="83">
      <c r="A20" s="1" t="n"/>
      <c r="B20" s="1" t="n"/>
      <c r="C20" s="1" t="n"/>
      <c r="D20" s="1" t="n"/>
      <c r="E20" s="1" t="n"/>
      <c r="F20" s="1" t="n"/>
      <c r="G20" s="1" t="n"/>
      <c r="H20" s="1" t="n"/>
      <c r="I20" s="1" t="n"/>
      <c r="J20" s="1" t="n"/>
      <c r="K20" s="1" t="n"/>
      <c r="L20" s="1" t="n"/>
      <c r="M20" s="1" t="n"/>
      <c r="N20" s="1" t="n"/>
      <c r="O20" s="1" t="n"/>
      <c r="P20" s="1" t="n"/>
      <c r="Q20" s="1" t="n"/>
      <c r="R20" s="1" t="n"/>
      <c r="S20" s="1" t="n"/>
      <c r="T20" s="1" t="n"/>
    </row>
    <row r="21" ht="15" customHeight="1" s="83">
      <c r="A21" s="1" t="n"/>
      <c r="B21" s="1" t="n"/>
      <c r="C21" s="1" t="n"/>
      <c r="D21" s="1" t="n"/>
      <c r="E21" s="1" t="n"/>
      <c r="F21" s="1" t="n"/>
      <c r="G21" s="1" t="n"/>
      <c r="H21" s="1" t="n"/>
      <c r="I21" s="1" t="n"/>
      <c r="J21" s="1" t="n"/>
      <c r="K21" s="1" t="n"/>
      <c r="L21" s="1" t="n"/>
      <c r="M21" s="1" t="n"/>
      <c r="N21" s="1" t="n"/>
      <c r="O21" s="1" t="n"/>
      <c r="P21" s="1" t="n"/>
      <c r="Q21" s="1" t="n"/>
      <c r="R21" s="1" t="n"/>
      <c r="S21" s="1" t="n"/>
      <c r="T21" s="1" t="n"/>
    </row>
    <row r="22" ht="15" customHeight="1" s="83">
      <c r="A22" s="1" t="n"/>
      <c r="B22" s="1" t="n"/>
      <c r="C22" s="1" t="n"/>
      <c r="D22" s="1" t="n"/>
      <c r="E22" s="1" t="n"/>
      <c r="F22" s="1" t="n"/>
      <c r="G22" s="1" t="n"/>
      <c r="H22" s="1" t="n"/>
      <c r="I22" s="1" t="n"/>
      <c r="J22" s="1" t="n"/>
      <c r="K22" s="1" t="n"/>
      <c r="L22" s="1" t="n"/>
      <c r="M22" s="1" t="n"/>
      <c r="N22" s="1" t="n"/>
      <c r="O22" s="1" t="n"/>
      <c r="P22" s="1" t="n"/>
      <c r="Q22" s="1" t="n"/>
      <c r="R22" s="1" t="n"/>
      <c r="S22" s="1" t="n"/>
      <c r="T22" s="1" t="n"/>
    </row>
    <row r="23" ht="15" customHeight="1" s="83">
      <c r="A23" s="1" t="n"/>
      <c r="B23" s="1" t="n"/>
      <c r="C23" s="1" t="n"/>
      <c r="D23" s="1" t="n"/>
      <c r="E23" s="1" t="n"/>
      <c r="F23" s="1" t="n"/>
      <c r="G23" s="1" t="n"/>
      <c r="H23" s="1" t="n"/>
      <c r="I23" s="1" t="n"/>
      <c r="J23" s="1" t="n"/>
      <c r="K23" s="1" t="n"/>
      <c r="L23" s="1" t="n"/>
      <c r="M23" s="1" t="n"/>
      <c r="N23" s="1" t="n"/>
      <c r="O23" s="1" t="n"/>
      <c r="P23" s="1" t="n"/>
      <c r="Q23" s="1" t="n"/>
      <c r="R23" s="1" t="n"/>
      <c r="S23" s="1" t="n"/>
      <c r="T23" s="1" t="n"/>
    </row>
    <row r="24" ht="15" customHeight="1" s="83">
      <c r="A24" s="1" t="n"/>
      <c r="B24" s="1" t="n"/>
      <c r="C24" s="1" t="n"/>
      <c r="D24" s="1" t="n"/>
      <c r="E24" s="1" t="n"/>
      <c r="F24" s="1" t="n"/>
      <c r="G24" s="1" t="n"/>
      <c r="H24" s="1" t="n"/>
      <c r="I24" s="1" t="n"/>
      <c r="J24" s="1" t="n"/>
      <c r="K24" s="1" t="n"/>
      <c r="L24" s="1" t="n"/>
      <c r="M24" s="1" t="n"/>
      <c r="N24" s="1" t="n"/>
      <c r="O24" s="1" t="n"/>
      <c r="P24" s="1" t="n"/>
      <c r="Q24" s="1" t="n"/>
      <c r="R24" s="1" t="n"/>
      <c r="S24" s="1" t="n"/>
      <c r="T24" s="1" t="n"/>
    </row>
    <row r="25" ht="15" customHeight="1" s="83">
      <c r="A25" s="1" t="n"/>
      <c r="B25" s="1" t="n"/>
      <c r="C25" s="1" t="n"/>
      <c r="D25" s="1" t="n"/>
      <c r="E25" s="1" t="n"/>
      <c r="F25" s="1" t="n"/>
      <c r="G25" s="1" t="n"/>
      <c r="H25" s="1" t="n"/>
      <c r="I25" s="1" t="n"/>
      <c r="J25" s="1" t="n"/>
      <c r="K25" s="1" t="n"/>
      <c r="L25" s="1" t="n"/>
      <c r="M25" s="1" t="n"/>
      <c r="N25" s="1" t="n"/>
      <c r="O25" s="1" t="n"/>
      <c r="P25" s="1" t="n"/>
      <c r="Q25" s="1" t="n"/>
      <c r="R25" s="1" t="n"/>
      <c r="S25" s="1" t="n"/>
      <c r="T25" s="1" t="n"/>
    </row>
    <row r="26" ht="15" customHeight="1" s="83">
      <c r="A26" s="1" t="n"/>
      <c r="B26" s="1" t="n"/>
      <c r="C26" s="1" t="n"/>
      <c r="D26" s="1" t="n"/>
      <c r="E26" s="1" t="n"/>
      <c r="F26" s="1" t="n"/>
      <c r="G26" s="1" t="n"/>
      <c r="H26" s="1" t="n"/>
      <c r="I26" s="1" t="n"/>
      <c r="J26" s="1" t="n"/>
      <c r="K26" s="1" t="n"/>
      <c r="L26" s="1" t="n"/>
      <c r="M26" s="1" t="n"/>
      <c r="N26" s="1" t="n"/>
      <c r="O26" s="1" t="n"/>
      <c r="P26" s="1" t="n"/>
      <c r="Q26" s="1" t="n"/>
      <c r="R26" s="1" t="n"/>
      <c r="S26" s="1" t="n"/>
      <c r="T26" s="1" t="n"/>
    </row>
    <row r="27" ht="15" customHeight="1" s="83">
      <c r="A27" s="1" t="n"/>
      <c r="B27" s="1" t="n"/>
      <c r="C27" s="1" t="n"/>
      <c r="D27" s="1" t="n"/>
      <c r="E27" s="1" t="n"/>
      <c r="F27" s="1" t="n"/>
      <c r="G27" s="1" t="n"/>
      <c r="H27" s="1" t="n"/>
      <c r="I27" s="1" t="n"/>
      <c r="J27" s="1" t="n"/>
      <c r="K27" s="1" t="n"/>
      <c r="L27" s="1" t="n"/>
      <c r="M27" s="1" t="n"/>
      <c r="N27" s="1" t="n"/>
      <c r="O27" s="1" t="n"/>
      <c r="P27" s="1" t="n"/>
      <c r="Q27" s="1" t="n"/>
      <c r="R27" s="1" t="n"/>
      <c r="S27" s="1" t="n"/>
      <c r="T27" s="1" t="n"/>
    </row>
    <row r="28" ht="15" customHeight="1" s="83">
      <c r="A28" s="1" t="n"/>
      <c r="B28" s="1" t="n"/>
      <c r="C28" s="1" t="n"/>
      <c r="D28" s="1" t="n"/>
      <c r="E28" s="1" t="n"/>
      <c r="F28" s="1" t="n"/>
      <c r="G28" s="1" t="n"/>
      <c r="H28" s="1" t="n"/>
      <c r="I28" s="1" t="n"/>
      <c r="J28" s="1" t="n"/>
      <c r="K28" s="1" t="n"/>
      <c r="L28" s="1" t="n"/>
      <c r="M28" s="1" t="n"/>
      <c r="N28" s="1" t="n"/>
      <c r="O28" s="1" t="n"/>
      <c r="P28" s="1" t="n"/>
      <c r="Q28" s="1" t="n"/>
      <c r="R28" s="1" t="n"/>
      <c r="S28" s="1" t="n"/>
      <c r="T28" s="1" t="n"/>
    </row>
    <row r="29" ht="15" customHeight="1" s="83">
      <c r="A29" s="1" t="n"/>
      <c r="B29" s="1" t="n"/>
      <c r="C29" s="1" t="n"/>
      <c r="D29" s="1" t="n"/>
      <c r="E29" s="1" t="n"/>
      <c r="F29" s="1" t="n"/>
      <c r="G29" s="1" t="n"/>
      <c r="H29" s="1" t="n"/>
      <c r="I29" s="1" t="n"/>
      <c r="J29" s="1" t="n"/>
      <c r="K29" s="1" t="n"/>
      <c r="L29" s="1" t="n"/>
      <c r="M29" s="1" t="n"/>
      <c r="N29" s="1" t="n"/>
      <c r="O29" s="1" t="n"/>
      <c r="P29" s="1" t="n"/>
      <c r="Q29" s="1" t="n"/>
      <c r="R29" s="1" t="n"/>
      <c r="S29" s="1" t="n"/>
      <c r="T29" s="1" t="n"/>
    </row>
    <row r="30" ht="15" customHeight="1" s="83">
      <c r="A30" s="1" t="n"/>
      <c r="B30" s="1" t="n"/>
      <c r="C30" s="1" t="n"/>
      <c r="D30" s="1" t="n"/>
      <c r="E30" s="1" t="n"/>
      <c r="F30" s="1" t="n"/>
      <c r="G30" s="1" t="n"/>
      <c r="H30" s="1" t="n"/>
      <c r="I30" s="1" t="n"/>
      <c r="J30" s="1" t="n"/>
      <c r="K30" s="1" t="n"/>
      <c r="L30" s="1" t="n"/>
      <c r="M30" s="1" t="n"/>
      <c r="N30" s="1" t="n"/>
      <c r="O30" s="1" t="n"/>
      <c r="P30" s="1" t="n"/>
      <c r="Q30" s="1" t="n"/>
      <c r="R30" s="1" t="n"/>
      <c r="S30" s="1" t="n"/>
      <c r="T30" s="1" t="n"/>
    </row>
    <row r="31" ht="80" customHeight="1" s="83">
      <c r="A31" s="39" t="inlineStr">
        <is>
          <t>Scenario Name</t>
        </is>
      </c>
      <c r="B31" s="40" t="inlineStr">
        <is>
          <t>Site of care</t>
        </is>
      </c>
      <c r="C31" s="40" t="inlineStr">
        <is>
          <t>Payer type</t>
        </is>
      </c>
      <c r="D31" s="40" t="inlineStr">
        <is>
          <t>340B status</t>
        </is>
      </c>
      <c r="E31" s="40" t="inlineStr">
        <is>
          <t>340B treatment</t>
        </is>
      </c>
      <c r="F31" s="40" t="inlineStr">
        <is>
          <t>Coding status</t>
        </is>
      </c>
      <c r="G31" s="40" t="inlineStr">
        <is>
          <t>OPPS pass-through status</t>
        </is>
      </c>
      <c r="H31" s="40" t="inlineStr">
        <is>
          <t>Sourcing model</t>
        </is>
      </c>
      <c r="I31" s="48" t="inlineStr">
        <is>
          <t>ASP status</t>
        </is>
      </c>
      <c r="J31" s="48" t="inlineStr">
        <is>
          <t>Reimbursement basis</t>
        </is>
      </c>
      <c r="K31" s="48" t="inlineStr">
        <is>
          <t>340B acquisition assumption</t>
        </is>
      </c>
      <c r="L31" s="48" t="inlineStr">
        <is>
          <t>Prior authorization status</t>
        </is>
      </c>
      <c r="M31" s="49" t="inlineStr">
        <is>
          <t>Profitability index</t>
        </is>
      </c>
      <c r="N31" s="49" t="inlineStr">
        <is>
          <t>Profitability tier</t>
        </is>
      </c>
      <c r="O31" s="49" t="inlineStr">
        <is>
          <t>Rank</t>
        </is>
      </c>
      <c r="P31" s="1" t="n"/>
      <c r="Q31" s="1" t="n"/>
      <c r="R31" s="1" t="n"/>
      <c r="S31" s="1" t="n"/>
      <c r="T31" s="1" t="n"/>
    </row>
    <row r="32" ht="45" customHeight="1" s="83">
      <c r="A32" s="45" t="inlineStr">
        <is>
          <t>Base Case: 340B COE HOPD, Buy-and-Bill</t>
        </is>
      </c>
      <c r="B32" s="45" t="inlineStr">
        <is>
          <t>HOPD</t>
        </is>
      </c>
      <c r="C32" s="45" t="inlineStr">
        <is>
          <t>Medicare</t>
        </is>
      </c>
      <c r="D32" s="45" t="inlineStr">
        <is>
          <t>Yes</t>
        </is>
      </c>
      <c r="E32" s="45" t="inlineStr">
        <is>
          <t>Carve-out</t>
        </is>
      </c>
      <c r="F32" s="45" t="inlineStr">
        <is>
          <t>Pass-through active</t>
        </is>
      </c>
      <c r="G32" s="45" t="inlineStr">
        <is>
          <t>Active</t>
        </is>
      </c>
      <c r="H32" s="45" t="inlineStr">
        <is>
          <t>Buy-and-bill</t>
        </is>
      </c>
      <c r="I32" s="50" t="inlineStr">
        <is>
          <t>Pre-ASP</t>
        </is>
      </c>
      <c r="J32" s="50" t="inlineStr">
        <is>
          <t>WAC %</t>
        </is>
      </c>
      <c r="K32" s="50" t="inlineStr">
        <is>
          <t>Primary 23.1%</t>
        </is>
      </c>
      <c r="L32" s="50" t="inlineStr">
        <is>
          <t>Confirmed</t>
        </is>
      </c>
      <c r="M32" s="51">
        <f>IF($D32="Yes",30,0)+IF($H32="Buy-and-bill",18,0)+IF($F32="Active",15,0)+IF($E32="Pass-through active",10,IF($E32="Permanent HCPCS",8,3))+IF($I32="WAC %",8,5)+IF($C32="Medicare",6,IF($C32="Commercial",4,3))+IF($B32="HOPD",5,IF($B32="Physician Office",3,2))-IF($H32="White-bagging",20,0)-IF($K32="Pending",6,0)-IF($G32="Pre-ASP",5,0)</f>
        <v/>
      </c>
      <c r="N32" s="52">
        <f>IF(M32&gt;=70,"Higher profitability",IF(M32&gt;=50,"Moderate profitability","Lower profitability"))</f>
        <v/>
      </c>
      <c r="O32" s="51">
        <f>RANK(M32,$M$32:$M$40,0)</f>
        <v/>
      </c>
      <c r="P32" s="1" t="n"/>
      <c r="Q32" s="1" t="n"/>
      <c r="R32" s="1" t="n"/>
      <c r="S32" s="1" t="n"/>
      <c r="T32" s="1" t="n"/>
    </row>
    <row r="33" ht="45" customHeight="1" s="83">
      <c r="A33" s="45" t="inlineStr">
        <is>
          <t>Conservative Case: Launch Friction / Manual Review</t>
        </is>
      </c>
      <c r="B33" s="45" t="inlineStr">
        <is>
          <t>HOPD</t>
        </is>
      </c>
      <c r="C33" s="45" t="inlineStr">
        <is>
          <t>Medicare</t>
        </is>
      </c>
      <c r="D33" s="45" t="inlineStr">
        <is>
          <t>Yes</t>
        </is>
      </c>
      <c r="E33" s="45" t="inlineStr">
        <is>
          <t>Carve-out</t>
        </is>
      </c>
      <c r="F33" s="45" t="inlineStr">
        <is>
          <t>Pre-code / NOC</t>
        </is>
      </c>
      <c r="G33" s="45" t="inlineStr">
        <is>
          <t>Not active</t>
        </is>
      </c>
      <c r="H33" s="45" t="inlineStr">
        <is>
          <t>Buy-and-bill</t>
        </is>
      </c>
      <c r="I33" s="50" t="inlineStr">
        <is>
          <t>Pre-ASP</t>
        </is>
      </c>
      <c r="J33" s="50" t="inlineStr">
        <is>
          <t>WAC %</t>
        </is>
      </c>
      <c r="K33" s="50" t="inlineStr">
        <is>
          <t>Primary 23.1%</t>
        </is>
      </c>
      <c r="L33" s="50" t="inlineStr">
        <is>
          <t>Not confirmed</t>
        </is>
      </c>
      <c r="M33" s="51">
        <f>IF($D33="Yes",30,0)+IF($H33="Buy-and-bill",18,0)+IF($F33="Active",15,0)+IF($E33="Pass-through active",10,IF($E33="Permanent HCPCS",8,3))+IF($I33="WAC %",8,5)+IF($C33="Medicare",6,IF($C33="Commercial",4,3))+IF($B33="HOPD",5,IF($B33="Physician Office",3,2))-IF($H33="White-bagging",20,0)-IF($K33="Pending",6,0)-IF($G33="Pre-ASP",5,0)</f>
        <v/>
      </c>
      <c r="N33" s="52">
        <f>IF(M33&gt;=70,"Higher profitability",IF(M33&gt;=50,"Moderate profitability","Lower profitability"))</f>
        <v/>
      </c>
      <c r="O33" s="51">
        <f>RANK(M33,$M$32:$M$40,0)</f>
        <v/>
      </c>
      <c r="P33" s="1" t="n"/>
      <c r="Q33" s="1" t="n"/>
      <c r="R33" s="1" t="n"/>
      <c r="S33" s="1" t="n"/>
      <c r="T33" s="1" t="n"/>
    </row>
    <row r="34" ht="60" customHeight="1" s="83">
      <c r="A34" s="45" t="inlineStr">
        <is>
          <t>340B COE HOPD, Product-Specific HCPCS Active</t>
        </is>
      </c>
      <c r="B34" s="45" t="inlineStr">
        <is>
          <t>HOPD</t>
        </is>
      </c>
      <c r="C34" s="45" t="inlineStr">
        <is>
          <t>Medicare</t>
        </is>
      </c>
      <c r="D34" s="45" t="inlineStr">
        <is>
          <t>Yes</t>
        </is>
      </c>
      <c r="E34" s="45" t="inlineStr">
        <is>
          <t>Carve-out</t>
        </is>
      </c>
      <c r="F34" s="45" t="inlineStr">
        <is>
          <t>Product-specific HCPCS active</t>
        </is>
      </c>
      <c r="G34" s="45" t="inlineStr">
        <is>
          <t>Not applicable</t>
        </is>
      </c>
      <c r="H34" s="45" t="inlineStr">
        <is>
          <t>Buy-and-bill</t>
        </is>
      </c>
      <c r="I34" s="50" t="inlineStr">
        <is>
          <t>ASP available</t>
        </is>
      </c>
      <c r="J34" s="50" t="inlineStr">
        <is>
          <t>ASP %</t>
        </is>
      </c>
      <c r="K34" s="50" t="inlineStr">
        <is>
          <t>Primary 23.1%</t>
        </is>
      </c>
      <c r="L34" s="50" t="inlineStr">
        <is>
          <t>Confirmed</t>
        </is>
      </c>
      <c r="M34" s="51">
        <f>IF($D34="Yes",30,0)+IF($H34="Buy-and-bill",18,0)+IF($F34="Active",15,0)+IF($E34="Pass-through active",10,IF($E34="Permanent HCPCS",8,3))+IF($I34="WAC %",8,5)+IF($C34="Medicare",6,IF($C34="Commercial",4,3))+IF($B34="HOPD",5,IF($B34="Physician Office",3,2))-IF($H34="White-bagging",20,0)-IF($K34="Pending",6,0)-IF($G34="Pre-ASP",5,0)</f>
        <v/>
      </c>
      <c r="N34" s="52">
        <f>IF(M34&gt;=70,"Higher profitability",IF(M34&gt;=50,"Moderate profitability","Lower profitability"))</f>
        <v/>
      </c>
      <c r="O34" s="51">
        <f>RANK(M34,$M$32:$M$40,0)</f>
        <v/>
      </c>
      <c r="P34" s="1" t="n"/>
      <c r="Q34" s="1" t="n"/>
      <c r="R34" s="1" t="n"/>
      <c r="S34" s="1" t="n"/>
      <c r="T34" s="1" t="n"/>
    </row>
    <row r="35" ht="45" customHeight="1" s="83">
      <c r="A35" s="45" t="inlineStr">
        <is>
          <t>Commercial Buy-and-Bill, 340B HOPD</t>
        </is>
      </c>
      <c r="B35" s="45" t="inlineStr">
        <is>
          <t>HOPD</t>
        </is>
      </c>
      <c r="C35" s="45" t="inlineStr">
        <is>
          <t>Commercial</t>
        </is>
      </c>
      <c r="D35" s="45" t="inlineStr">
        <is>
          <t>Yes</t>
        </is>
      </c>
      <c r="E35" s="45" t="inlineStr">
        <is>
          <t>Carve-out</t>
        </is>
      </c>
      <c r="F35" s="45" t="inlineStr">
        <is>
          <t>Pre-code / NOC</t>
        </is>
      </c>
      <c r="G35" s="45" t="inlineStr">
        <is>
          <t>Not applicable</t>
        </is>
      </c>
      <c r="H35" s="45" t="inlineStr">
        <is>
          <t>Buy-and-bill</t>
        </is>
      </c>
      <c r="I35" s="50" t="inlineStr">
        <is>
          <t>Pre-ASP</t>
        </is>
      </c>
      <c r="J35" s="50" t="inlineStr">
        <is>
          <t>Contracted rate</t>
        </is>
      </c>
      <c r="K35" s="50" t="inlineStr">
        <is>
          <t>Primary 23.1%</t>
        </is>
      </c>
      <c r="L35" s="50" t="inlineStr">
        <is>
          <t>Confirmed</t>
        </is>
      </c>
      <c r="M35" s="51">
        <f>IF($D35="Yes",30,0)+IF($H35="Buy-and-bill",18,0)+IF($F35="Active",15,0)+IF($E35="Pass-through active",10,IF($E35="Permanent HCPCS",8,3))+IF($I35="WAC %",8,5)+IF($C35="Medicare",6,IF($C35="Commercial",4,3))+IF($B35="HOPD",5,IF($B35="Physician Office",3,2))-IF($H35="White-bagging",20,0)-IF($K35="Pending",6,0)-IF($G35="Pre-ASP",5,0)</f>
        <v/>
      </c>
      <c r="N35" s="52">
        <f>IF(M35&gt;=70,"Higher profitability",IF(M35&gt;=50,"Moderate profitability","Lower profitability"))</f>
        <v/>
      </c>
      <c r="O35" s="51">
        <f>RANK(M35,$M$32:$M$40,0)</f>
        <v/>
      </c>
      <c r="P35" s="1" t="n"/>
      <c r="Q35" s="1" t="n"/>
      <c r="R35" s="1" t="n"/>
      <c r="S35" s="1" t="n"/>
      <c r="T35" s="1" t="n"/>
    </row>
    <row r="36" ht="45" customHeight="1" s="83">
      <c r="A36" s="45" t="inlineStr">
        <is>
          <t>White-Bagging Case</t>
        </is>
      </c>
      <c r="B36" s="45" t="inlineStr">
        <is>
          <t>HOPD</t>
        </is>
      </c>
      <c r="C36" s="45" t="inlineStr">
        <is>
          <t>Commercial</t>
        </is>
      </c>
      <c r="D36" s="45" t="inlineStr">
        <is>
          <t>No</t>
        </is>
      </c>
      <c r="E36" s="45" t="inlineStr">
        <is>
          <t>Not applicable</t>
        </is>
      </c>
      <c r="F36" s="45" t="inlineStr">
        <is>
          <t>Pre-code / NOC</t>
        </is>
      </c>
      <c r="G36" s="45" t="inlineStr">
        <is>
          <t>Not applicable</t>
        </is>
      </c>
      <c r="H36" s="45" t="inlineStr">
        <is>
          <t>White-bagging</t>
        </is>
      </c>
      <c r="I36" s="50" t="inlineStr">
        <is>
          <t>Pre-ASP</t>
        </is>
      </c>
      <c r="J36" s="50" t="inlineStr">
        <is>
          <t>Manual entry</t>
        </is>
      </c>
      <c r="K36" s="50" t="inlineStr">
        <is>
          <t>Manual entry</t>
        </is>
      </c>
      <c r="L36" s="50" t="inlineStr">
        <is>
          <t>Confirmed</t>
        </is>
      </c>
      <c r="M36" s="51">
        <f>IF($D36="Yes",30,0)+IF($H36="Buy-and-bill",18,0)+IF($F36="Active",15,0)+IF($E36="Pass-through active",10,IF($E36="Permanent HCPCS",8,3))+IF($I36="WAC %",8,5)+IF($C36="Medicare",6,IF($C36="Commercial",4,3))+IF($B36="HOPD",5,IF($B36="Physician Office",3,2))-IF($H36="White-bagging",20,0)-IF($K36="Pending",6,0)-IF($G36="Pre-ASP",5,0)</f>
        <v/>
      </c>
      <c r="N36" s="52">
        <f>IF(M36&gt;=70,"Higher profitability",IF(M36&gt;=50,"Moderate profitability","Lower profitability"))</f>
        <v/>
      </c>
      <c r="O36" s="51">
        <f>RANK(M36,$M$32:$M$40,0)</f>
        <v/>
      </c>
      <c r="P36" s="1" t="n"/>
      <c r="Q36" s="1" t="n"/>
      <c r="R36" s="1" t="n"/>
      <c r="S36" s="1" t="n"/>
      <c r="T36" s="1" t="n"/>
    </row>
    <row r="37" ht="45" customHeight="1" s="83">
      <c r="A37" s="45" t="inlineStr">
        <is>
          <t>Medicaid Managed Care, 340B COE</t>
        </is>
      </c>
      <c r="B37" s="45" t="inlineStr">
        <is>
          <t>HOPD</t>
        </is>
      </c>
      <c r="C37" s="45" t="inlineStr">
        <is>
          <t>Medicaid Managed Care</t>
        </is>
      </c>
      <c r="D37" s="45" t="inlineStr">
        <is>
          <t>Yes</t>
        </is>
      </c>
      <c r="E37" s="45" t="inlineStr">
        <is>
          <t>Carve-in</t>
        </is>
      </c>
      <c r="F37" s="45" t="inlineStr">
        <is>
          <t>Pre-code / NOC</t>
        </is>
      </c>
      <c r="G37" s="45" t="inlineStr">
        <is>
          <t>Not applicable</t>
        </is>
      </c>
      <c r="H37" s="45" t="inlineStr">
        <is>
          <t>Buy-and-bill</t>
        </is>
      </c>
      <c r="I37" s="50" t="inlineStr">
        <is>
          <t>Pre-ASP</t>
        </is>
      </c>
      <c r="J37" s="50" t="inlineStr">
        <is>
          <t>WAC %</t>
        </is>
      </c>
      <c r="K37" s="50" t="inlineStr">
        <is>
          <t>Primary 23.1%</t>
        </is>
      </c>
      <c r="L37" s="50" t="inlineStr">
        <is>
          <t>Confirmed</t>
        </is>
      </c>
      <c r="M37" s="51">
        <f>IF($D37="Yes",30,0)+IF($H37="Buy-and-bill",18,0)+IF($F37="Active",15,0)+IF($E37="Pass-through active",10,IF($E37="Permanent HCPCS",8,3))+IF($I37="WAC %",8,5)+IF($C37="Medicare",6,IF($C37="Commercial",4,3))+IF($B37="HOPD",5,IF($B37="Physician Office",3,2))-IF($H37="White-bagging",20,0)-IF($K37="Pending",6,0)-IF($G37="Pre-ASP",5,0)</f>
        <v/>
      </c>
      <c r="N37" s="52">
        <f>IF(M37&gt;=70,"Higher profitability",IF(M37&gt;=50,"Moderate profitability","Lower profitability"))</f>
        <v/>
      </c>
      <c r="O37" s="51">
        <f>RANK(M37,$M$32:$M$40,0)</f>
        <v/>
      </c>
      <c r="P37" s="1" t="n"/>
      <c r="Q37" s="1" t="n"/>
      <c r="R37" s="1" t="n"/>
      <c r="S37" s="1" t="n"/>
      <c r="T37" s="1" t="n"/>
    </row>
    <row r="38" ht="45" customHeight="1" s="83">
      <c r="A38" s="45" t="inlineStr">
        <is>
          <t>Medicaid FFS, 340B COE</t>
        </is>
      </c>
      <c r="B38" s="45" t="inlineStr">
        <is>
          <t>HOPD</t>
        </is>
      </c>
      <c r="C38" s="45" t="inlineStr">
        <is>
          <t>Medicaid FFS</t>
        </is>
      </c>
      <c r="D38" s="45" t="inlineStr">
        <is>
          <t>Yes</t>
        </is>
      </c>
      <c r="E38" s="45" t="inlineStr">
        <is>
          <t>Carve-in</t>
        </is>
      </c>
      <c r="F38" s="45" t="inlineStr">
        <is>
          <t>Pre-code / NOC</t>
        </is>
      </c>
      <c r="G38" s="45" t="inlineStr">
        <is>
          <t>Not applicable</t>
        </is>
      </c>
      <c r="H38" s="45" t="inlineStr">
        <is>
          <t>Buy-and-bill</t>
        </is>
      </c>
      <c r="I38" s="50" t="inlineStr">
        <is>
          <t>Pre-ASP</t>
        </is>
      </c>
      <c r="J38" s="50" t="inlineStr">
        <is>
          <t>WAC %</t>
        </is>
      </c>
      <c r="K38" s="50" t="inlineStr">
        <is>
          <t>Primary 23.1%</t>
        </is>
      </c>
      <c r="L38" s="50" t="inlineStr">
        <is>
          <t>Confirmed</t>
        </is>
      </c>
      <c r="M38" s="51">
        <f>IF($D38="Yes",30,0)+IF($H38="Buy-and-bill",18,0)+IF($F38="Active",15,0)+IF($E38="Pass-through active",10,IF($E38="Permanent HCPCS",8,3))+IF($I38="WAC %",8,5)+IF($C38="Medicare",6,IF($C38="Commercial",4,3))+IF($B38="HOPD",5,IF($B38="Physician Office",3,2))-IF($H38="White-bagging",20,0)-IF($K38="Pending",6,0)-IF($G38="Pre-ASP",5,0)</f>
        <v/>
      </c>
      <c r="N38" s="52">
        <f>IF(M38&gt;=70,"Higher profitability",IF(M38&gt;=50,"Moderate profitability","Lower profitability"))</f>
        <v/>
      </c>
      <c r="O38" s="51">
        <f>RANK(M38,$M$32:$M$40,0)</f>
        <v/>
      </c>
      <c r="P38" s="1" t="n"/>
      <c r="Q38" s="1" t="n"/>
      <c r="R38" s="1" t="n"/>
      <c r="S38" s="1" t="n"/>
      <c r="T38" s="1" t="n"/>
    </row>
    <row r="39" ht="45" customHeight="1" s="83">
      <c r="A39" s="45" t="inlineStr">
        <is>
          <t>Non-340B Sensitivity</t>
        </is>
      </c>
      <c r="B39" s="45" t="inlineStr">
        <is>
          <t>HOPD</t>
        </is>
      </c>
      <c r="C39" s="45" t="inlineStr">
        <is>
          <t>Medicare</t>
        </is>
      </c>
      <c r="D39" s="45" t="inlineStr">
        <is>
          <t>No</t>
        </is>
      </c>
      <c r="E39" s="45" t="inlineStr">
        <is>
          <t>Not applicable</t>
        </is>
      </c>
      <c r="F39" s="45" t="inlineStr">
        <is>
          <t>Pass-through active</t>
        </is>
      </c>
      <c r="G39" s="45" t="inlineStr">
        <is>
          <t>Active</t>
        </is>
      </c>
      <c r="H39" s="45" t="inlineStr">
        <is>
          <t>Buy-and-bill</t>
        </is>
      </c>
      <c r="I39" s="50" t="inlineStr">
        <is>
          <t>Pre-ASP</t>
        </is>
      </c>
      <c r="J39" s="50" t="inlineStr">
        <is>
          <t>WAC %</t>
        </is>
      </c>
      <c r="K39" s="50" t="inlineStr">
        <is>
          <t>Manual entry</t>
        </is>
      </c>
      <c r="L39" s="50" t="inlineStr">
        <is>
          <t>Confirmed</t>
        </is>
      </c>
      <c r="M39" s="51">
        <f>IF($D39="Yes",30,0)+IF($H39="Buy-and-bill",18,0)+IF($F39="Active",15,0)+IF($E39="Pass-through active",10,IF($E39="Permanent HCPCS",8,3))+IF($I39="WAC %",8,5)+IF($C39="Medicare",6,IF($C39="Commercial",4,3))+IF($B39="HOPD",5,IF($B39="Physician Office",3,2))-IF($H39="White-bagging",20,0)-IF($K39="Pending",6,0)-IF($G39="Pre-ASP",5,0)</f>
        <v/>
      </c>
      <c r="N39" s="52">
        <f>IF(M39&gt;=70,"Higher profitability",IF(M39&gt;=50,"Moderate profitability","Lower profitability"))</f>
        <v/>
      </c>
      <c r="O39" s="51">
        <f>RANK(M39,$M$32:$M$40,0)</f>
        <v/>
      </c>
      <c r="P39" s="1" t="n"/>
      <c r="Q39" s="1" t="n"/>
      <c r="R39" s="1" t="n"/>
      <c r="S39" s="1" t="n"/>
      <c r="T39" s="1" t="n"/>
    </row>
    <row r="40" ht="45" customHeight="1" s="83">
      <c r="A40" s="45" t="inlineStr">
        <is>
          <t>Physician Office Sensitivity</t>
        </is>
      </c>
      <c r="B40" s="45" t="inlineStr">
        <is>
          <t>Physician Office</t>
        </is>
      </c>
      <c r="C40" s="45" t="inlineStr">
        <is>
          <t>Commercial</t>
        </is>
      </c>
      <c r="D40" s="45" t="inlineStr">
        <is>
          <t>No</t>
        </is>
      </c>
      <c r="E40" s="45" t="inlineStr">
        <is>
          <t>Not applicable</t>
        </is>
      </c>
      <c r="F40" s="45" t="inlineStr">
        <is>
          <t>Pre-code / NOC</t>
        </is>
      </c>
      <c r="G40" s="45" t="inlineStr">
        <is>
          <t>Not applicable</t>
        </is>
      </c>
      <c r="H40" s="45" t="inlineStr">
        <is>
          <t>Mixed</t>
        </is>
      </c>
      <c r="I40" s="50" t="inlineStr">
        <is>
          <t>Pre-ASP</t>
        </is>
      </c>
      <c r="J40" s="50" t="inlineStr">
        <is>
          <t>WAC %</t>
        </is>
      </c>
      <c r="K40" s="50" t="inlineStr">
        <is>
          <t>Manual entry</t>
        </is>
      </c>
      <c r="L40" s="50" t="inlineStr">
        <is>
          <t>Not confirmed</t>
        </is>
      </c>
      <c r="M40" s="51">
        <f>IF($D40="Yes",30,0)+IF($H40="Buy-and-bill",18,0)+IF($F40="Active",15,0)+IF($E40="Pass-through active",10,IF($E40="Permanent HCPCS",8,3))+IF($I40="WAC %",8,5)+IF($C40="Medicare",6,IF($C40="Commercial",4,3))+IF($B40="HOPD",5,IF($B40="Physician Office",3,2))-IF($H40="White-bagging",20,0)-IF($K40="Pending",6,0)-IF($G40="Pre-ASP",5,0)</f>
        <v/>
      </c>
      <c r="N40" s="52">
        <f>IF(M40&gt;=70,"Higher profitability",IF(M40&gt;=50,"Moderate profitability","Lower profitability"))</f>
        <v/>
      </c>
      <c r="O40" s="51">
        <f>RANK(M40,$M$32:$M$40,0)</f>
        <v/>
      </c>
      <c r="P40" s="1" t="n"/>
      <c r="Q40" s="1" t="n"/>
      <c r="R40" s="1" t="n"/>
      <c r="S40" s="1" t="n"/>
      <c r="T40" s="1" t="n"/>
    </row>
    <row r="41" ht="15" customHeight="1" s="83">
      <c r="A41" s="1" t="n"/>
      <c r="B41" s="1" t="n"/>
      <c r="C41" s="1" t="n"/>
      <c r="D41" s="1" t="n"/>
      <c r="E41" s="1" t="n"/>
      <c r="F41" s="1" t="n"/>
      <c r="G41" s="1" t="n"/>
      <c r="H41" s="1" t="n"/>
      <c r="I41" s="1" t="n"/>
      <c r="J41" s="1" t="n"/>
      <c r="K41" s="1" t="n"/>
      <c r="L41" s="1" t="n"/>
      <c r="M41" s="1" t="n"/>
      <c r="N41" s="1" t="n"/>
      <c r="O41" s="1" t="n"/>
      <c r="P41" s="1" t="n"/>
      <c r="Q41" s="1" t="n"/>
      <c r="R41" s="1" t="n"/>
      <c r="S41" s="1" t="n"/>
      <c r="T41" s="1" t="n"/>
    </row>
    <row r="42" ht="64" customHeight="1" s="83">
      <c r="A42" s="53" t="inlineStr">
        <is>
          <t>Numeric Preset Name</t>
        </is>
      </c>
      <c r="B42" s="53" t="inlineStr">
        <is>
          <t>White-bag %</t>
        </is>
      </c>
      <c r="C42" s="53" t="inlineStr">
        <is>
          <t>Denial %</t>
        </is>
      </c>
      <c r="D42" s="53" t="inlineStr">
        <is>
          <t>Appeal recovery %</t>
        </is>
      </c>
      <c r="E42" s="53" t="inlineStr">
        <is>
          <t>Days to payment</t>
        </is>
      </c>
      <c r="F42" s="53" t="inlineStr">
        <is>
          <t>Labor</t>
        </is>
      </c>
      <c r="G42" s="53" t="inlineStr">
        <is>
          <t>Pharmacy</t>
        </is>
      </c>
      <c r="H42" s="53" t="inlineStr">
        <is>
          <t>Billing/Admin</t>
        </is>
      </c>
      <c r="I42" s="54" t="inlineStr">
        <is>
          <t>Other non-drug</t>
        </is>
      </c>
      <c r="J42" s="54" t="inlineStr">
        <is>
          <t>Procedure revenue</t>
        </is>
      </c>
      <c r="K42" s="54" t="inlineStr">
        <is>
          <t>Wastage</t>
        </is>
      </c>
      <c r="L42" s="54" t="inlineStr">
        <is>
          <t>Financing %</t>
        </is>
      </c>
      <c r="M42" s="54" t="inlineStr">
        <is>
          <t>Mfr support</t>
        </is>
      </c>
      <c r="N42" s="54" t="inlineStr">
        <is>
          <t>Manual allowed</t>
        </is>
      </c>
      <c r="O42" s="54" t="inlineStr">
        <is>
          <t>Contracted rate</t>
        </is>
      </c>
      <c r="P42" s="54" t="inlineStr">
        <is>
          <t>AWP</t>
        </is>
      </c>
      <c r="Q42" s="54" t="inlineStr">
        <is>
          <t>ASP</t>
        </is>
      </c>
      <c r="R42" s="54" t="inlineStr">
        <is>
          <t>Manual 340B acq</t>
        </is>
      </c>
      <c r="S42" s="54" t="inlineStr">
        <is>
          <t>Reimbursement %</t>
        </is>
      </c>
      <c r="T42" s="54" t="inlineStr">
        <is>
          <t>Acquisition Assumption</t>
        </is>
      </c>
    </row>
    <row r="43" ht="30" customHeight="1" s="83">
      <c r="A43" s="47" t="inlineStr">
        <is>
          <t>Base Case: 340B COE HOPD, Buy-and-Bill</t>
        </is>
      </c>
      <c r="B43" s="55" t="n">
        <v>0</v>
      </c>
      <c r="C43" s="55" t="n">
        <v>0.075</v>
      </c>
      <c r="D43" s="56" t="n">
        <v>0.6</v>
      </c>
      <c r="E43" s="56" t="n">
        <v>75</v>
      </c>
      <c r="F43" s="56" t="n">
        <v>750</v>
      </c>
      <c r="G43" s="56" t="n">
        <v>400</v>
      </c>
      <c r="H43" s="56" t="n">
        <v>300</v>
      </c>
      <c r="I43" s="56" t="n">
        <v>250</v>
      </c>
      <c r="J43" s="56" t="n">
        <v>500</v>
      </c>
      <c r="K43" s="56" t="n">
        <v>0</v>
      </c>
      <c r="L43" s="55" t="n">
        <v>0.08</v>
      </c>
      <c r="M43" s="56" t="n">
        <v>0</v>
      </c>
      <c r="N43" s="56" t="n">
        <v>40170</v>
      </c>
      <c r="O43" s="56" t="n">
        <v>39000</v>
      </c>
      <c r="P43" s="56" t="n">
        <v>46800</v>
      </c>
      <c r="Q43" s="56" t="n">
        <v>37050</v>
      </c>
      <c r="R43" s="56" t="n">
        <v>29991</v>
      </c>
      <c r="S43" s="55" t="n">
        <v>1.03</v>
      </c>
      <c r="T43" s="56" t="inlineStr">
        <is>
          <t>Primary 23.1%</t>
        </is>
      </c>
    </row>
    <row r="44" ht="30" customHeight="1" s="83">
      <c r="A44" s="47" t="inlineStr">
        <is>
          <t>Conservative Case: Launch Friction / Manual Review</t>
        </is>
      </c>
      <c r="B44" s="55" t="n">
        <v>0</v>
      </c>
      <c r="C44" s="55" t="n">
        <v>0.15</v>
      </c>
      <c r="D44" s="56" t="n">
        <v>0.5</v>
      </c>
      <c r="E44" s="56" t="n">
        <v>120</v>
      </c>
      <c r="F44" s="56" t="n">
        <v>1000</v>
      </c>
      <c r="G44" s="56" t="n">
        <v>600</v>
      </c>
      <c r="H44" s="56" t="n">
        <v>500</v>
      </c>
      <c r="I44" s="56" t="n">
        <v>500</v>
      </c>
      <c r="J44" s="56" t="n">
        <v>400</v>
      </c>
      <c r="K44" s="56" t="n">
        <v>0</v>
      </c>
      <c r="L44" s="55" t="n">
        <v>0.1</v>
      </c>
      <c r="M44" s="56" t="n">
        <v>0</v>
      </c>
      <c r="N44" s="56" t="n">
        <v>40170</v>
      </c>
      <c r="O44" s="56" t="n">
        <v>37050</v>
      </c>
      <c r="P44" s="56" t="n">
        <v>46800</v>
      </c>
      <c r="Q44" s="56" t="n">
        <v>35100</v>
      </c>
      <c r="R44" s="56" t="n">
        <v>32331</v>
      </c>
      <c r="S44" s="55" t="n">
        <v>0.95</v>
      </c>
      <c r="T44" s="56" t="inlineStr">
        <is>
          <t>Pediatric 17.1%</t>
        </is>
      </c>
    </row>
    <row r="45" ht="30" customHeight="1" s="83">
      <c r="A45" s="47" t="inlineStr">
        <is>
          <t>White-Bagging Case</t>
        </is>
      </c>
      <c r="B45" s="55" t="n">
        <v>1</v>
      </c>
      <c r="C45" s="55" t="n">
        <v>0.05</v>
      </c>
      <c r="D45" s="56" t="n">
        <v>0.7</v>
      </c>
      <c r="E45" s="56" t="n">
        <v>45</v>
      </c>
      <c r="F45" s="57" t="n">
        <v>750</v>
      </c>
      <c r="G45" s="57" t="n">
        <v>250</v>
      </c>
      <c r="H45" s="57" t="n">
        <v>250</v>
      </c>
      <c r="I45" s="57" t="n">
        <v>250</v>
      </c>
      <c r="J45" s="57" t="n">
        <v>500</v>
      </c>
      <c r="K45" s="57" t="n">
        <v>0</v>
      </c>
      <c r="L45" s="57" t="n">
        <v>0.08</v>
      </c>
      <c r="M45" s="57" t="n">
        <v>0</v>
      </c>
      <c r="N45" s="57" t="n">
        <v>0</v>
      </c>
      <c r="O45" s="57" t="n">
        <v>0</v>
      </c>
      <c r="P45" s="57" t="n">
        <v>46800</v>
      </c>
      <c r="Q45" s="57" t="n">
        <v>37050</v>
      </c>
      <c r="R45" s="56" t="n">
        <v>0</v>
      </c>
      <c r="S45" s="55" t="n">
        <v>0</v>
      </c>
      <c r="T45" s="56" t="inlineStr">
        <is>
          <t>Manual entry</t>
        </is>
      </c>
    </row>
    <row r="46" ht="15" customHeight="1" s="83">
      <c r="A46" s="5" t="n"/>
      <c r="B46" s="5" t="n"/>
      <c r="C46" s="5" t="n"/>
      <c r="D46" s="5" t="n"/>
      <c r="E46" s="5" t="n"/>
      <c r="F46" s="5" t="n"/>
      <c r="G46" s="5" t="n"/>
      <c r="H46" s="5" t="n"/>
      <c r="I46" s="5" t="n"/>
      <c r="J46" s="5" t="n"/>
      <c r="K46" s="5" t="n"/>
      <c r="L46" s="5" t="n"/>
      <c r="M46" s="5" t="n"/>
      <c r="N46" s="5" t="n"/>
      <c r="O46" s="5" t="n"/>
      <c r="P46" s="5" t="n"/>
      <c r="Q46" s="5" t="n"/>
      <c r="R46" s="5" t="n"/>
      <c r="S46" s="5" t="n"/>
      <c r="T46" s="5" t="n"/>
    </row>
    <row r="47" ht="16" customHeight="1" s="83">
      <c r="A47" s="58" t="inlineStr">
        <is>
          <t>Numeric Preset Selector</t>
        </is>
      </c>
      <c r="B47" s="58" t="inlineStr">
        <is>
          <t>Manual Override?</t>
        </is>
      </c>
      <c r="C47" s="58" t="inlineStr">
        <is>
          <t>Active</t>
        </is>
      </c>
      <c r="D47" s="5" t="n"/>
      <c r="E47" s="5" t="n"/>
      <c r="F47" s="5" t="n"/>
      <c r="G47" s="5" t="n"/>
      <c r="H47" s="5" t="n"/>
      <c r="I47" s="5" t="n"/>
      <c r="J47" s="5" t="n"/>
      <c r="K47" s="5" t="n"/>
      <c r="L47" s="5" t="n"/>
      <c r="M47" s="5" t="n"/>
      <c r="N47" s="5" t="n"/>
      <c r="O47" s="5" t="n"/>
      <c r="P47" s="5" t="n"/>
      <c r="Q47" s="5" t="n"/>
      <c r="R47" s="5" t="n"/>
      <c r="S47" s="5" t="n"/>
      <c r="T47" s="5" t="n"/>
    </row>
    <row r="48" ht="30" customHeight="1" s="83">
      <c r="A48" s="47" t="inlineStr">
        <is>
          <t>Selected Numeric Preset</t>
        </is>
      </c>
      <c r="B48" s="47" t="inlineStr">
        <is>
          <t>Base Case: 340B COE HOPD, Buy-and-Bill</t>
        </is>
      </c>
      <c r="C48" s="47">
        <f>B48</f>
        <v/>
      </c>
      <c r="D48" s="5" t="n"/>
      <c r="E48" s="5" t="n"/>
      <c r="F48" s="5" t="n"/>
      <c r="G48" s="5" t="n"/>
      <c r="H48" s="5" t="n"/>
      <c r="I48" s="5" t="n"/>
      <c r="J48" s="5" t="n"/>
      <c r="K48" s="5" t="n"/>
      <c r="L48" s="5" t="n"/>
      <c r="M48" s="5" t="n"/>
      <c r="N48" s="5" t="n"/>
      <c r="O48" s="5" t="n"/>
      <c r="P48" s="5" t="n"/>
      <c r="Q48" s="5" t="n"/>
      <c r="R48" s="5" t="n"/>
      <c r="S48" s="5" t="n"/>
      <c r="T48" s="5" t="n"/>
    </row>
    <row r="49" ht="15" customHeight="1" s="83">
      <c r="A49" s="5" t="n"/>
      <c r="B49" s="5" t="n"/>
      <c r="C49" s="5" t="n"/>
      <c r="D49" s="5" t="n"/>
      <c r="E49" s="5" t="n"/>
      <c r="F49" s="5" t="n"/>
      <c r="G49" s="5" t="n"/>
      <c r="H49" s="5" t="n"/>
      <c r="I49" s="5" t="n"/>
      <c r="J49" s="5" t="n"/>
      <c r="K49" s="5" t="n"/>
      <c r="L49" s="5" t="n"/>
      <c r="M49" s="5" t="n"/>
      <c r="N49" s="5" t="n"/>
      <c r="O49" s="5" t="n"/>
      <c r="P49" s="5" t="n"/>
      <c r="Q49" s="5" t="n"/>
      <c r="R49" s="5" t="n"/>
      <c r="S49" s="5" t="n"/>
      <c r="T49" s="5" t="n"/>
    </row>
    <row r="50" ht="16" customHeight="1" s="83">
      <c r="A50" s="53" t="inlineStr">
        <is>
          <t>Numeric Input</t>
        </is>
      </c>
      <c r="B50" s="53" t="inlineStr">
        <is>
          <t>Preset Value</t>
        </is>
      </c>
      <c r="C50" s="53" t="inlineStr">
        <is>
          <t>Active to Core</t>
        </is>
      </c>
      <c r="D50" s="5" t="n"/>
      <c r="E50" s="5" t="n"/>
      <c r="F50" s="5" t="n"/>
      <c r="G50" s="5" t="n"/>
      <c r="H50" s="5" t="n"/>
      <c r="I50" s="5" t="n"/>
      <c r="J50" s="5" t="n"/>
      <c r="K50" s="5" t="n"/>
      <c r="L50" s="5" t="n"/>
      <c r="M50" s="5" t="n"/>
      <c r="N50" s="5" t="n"/>
      <c r="O50" s="5" t="n"/>
      <c r="P50" s="5" t="n"/>
      <c r="Q50" s="5" t="n"/>
      <c r="R50" s="5" t="n"/>
      <c r="S50" s="5" t="n"/>
      <c r="T50" s="5" t="n"/>
    </row>
    <row r="51" ht="15" customHeight="1" s="83">
      <c r="A51" s="47" t="inlineStr">
        <is>
          <t>White-bagging percentage (payer-driven toggle)</t>
        </is>
      </c>
      <c r="B51" s="59">
        <f>INDEX($B$43:$T$45,MATCH($B$48,$A$43:$A$45,0),1)</f>
        <v/>
      </c>
      <c r="C51" s="60">
        <f>B51</f>
        <v/>
      </c>
      <c r="D51" s="61" t="n"/>
      <c r="E51" s="5" t="n"/>
      <c r="F51" s="5" t="n"/>
      <c r="G51" s="5" t="n"/>
      <c r="H51" s="5" t="n"/>
      <c r="I51" s="5" t="n"/>
      <c r="J51" s="5" t="n"/>
      <c r="K51" s="5" t="n"/>
      <c r="L51" s="5" t="n"/>
      <c r="M51" s="5" t="n"/>
      <c r="N51" s="5" t="n"/>
      <c r="O51" s="5" t="n"/>
      <c r="P51" s="5" t="n"/>
      <c r="Q51" s="5" t="n"/>
      <c r="R51" s="5" t="n"/>
      <c r="S51" s="5" t="n"/>
      <c r="T51" s="5" t="n"/>
    </row>
    <row r="52" ht="15" customHeight="1" s="83">
      <c r="A52" s="47" t="inlineStr">
        <is>
          <t>Denial rate</t>
        </is>
      </c>
      <c r="B52" s="59">
        <f>INDEX($B$43:$T$45,MATCH($B$48,$A$43:$A$45,0),2)</f>
        <v/>
      </c>
      <c r="C52" s="60">
        <f>B52</f>
        <v/>
      </c>
      <c r="D52" s="61" t="n"/>
      <c r="E52" s="5" t="n"/>
      <c r="F52" s="5" t="n"/>
      <c r="G52" s="5" t="n"/>
      <c r="H52" s="5" t="n"/>
      <c r="I52" s="5" t="n"/>
      <c r="J52" s="5" t="n"/>
      <c r="K52" s="5" t="n"/>
      <c r="L52" s="5" t="n"/>
      <c r="M52" s="5" t="n"/>
      <c r="N52" s="5" t="n"/>
      <c r="O52" s="5" t="n"/>
      <c r="P52" s="5" t="n"/>
      <c r="Q52" s="5" t="n"/>
      <c r="R52" s="5" t="n"/>
      <c r="S52" s="5" t="n"/>
      <c r="T52" s="5" t="n"/>
    </row>
    <row r="53" ht="15" customHeight="1" s="83">
      <c r="A53" s="47" t="inlineStr">
        <is>
          <t>Appeal recovery rate</t>
        </is>
      </c>
      <c r="B53" s="59">
        <f>INDEX($B$43:$T$45,MATCH($B$48,$A$43:$A$45,0),3)</f>
        <v/>
      </c>
      <c r="C53" s="60">
        <f>B53</f>
        <v/>
      </c>
      <c r="D53" s="61" t="n"/>
      <c r="E53" s="5" t="n"/>
      <c r="F53" s="5" t="n"/>
      <c r="G53" s="5" t="n"/>
      <c r="H53" s="5" t="n"/>
      <c r="I53" s="5" t="n"/>
      <c r="J53" s="5" t="n"/>
      <c r="K53" s="5" t="n"/>
      <c r="L53" s="5" t="n"/>
      <c r="M53" s="5" t="n"/>
      <c r="N53" s="5" t="n"/>
      <c r="O53" s="5" t="n"/>
      <c r="P53" s="5" t="n"/>
      <c r="Q53" s="5" t="n"/>
      <c r="R53" s="5" t="n"/>
      <c r="S53" s="5" t="n"/>
      <c r="T53" s="5" t="n"/>
    </row>
    <row r="54" ht="15" customHeight="1" s="83">
      <c r="A54" s="47" t="inlineStr">
        <is>
          <t>Days to payment</t>
        </is>
      </c>
      <c r="B54" s="62">
        <f>INDEX($B$43:$T$45,MATCH($B$48,$A$43:$A$45,0),4)</f>
        <v/>
      </c>
      <c r="C54" s="60">
        <f>B54</f>
        <v/>
      </c>
      <c r="D54" s="61" t="n"/>
      <c r="E54" s="5" t="n"/>
      <c r="F54" s="5" t="n"/>
      <c r="G54" s="5" t="n"/>
      <c r="H54" s="5" t="n"/>
      <c r="I54" s="5" t="n"/>
      <c r="J54" s="5" t="n"/>
      <c r="K54" s="5" t="n"/>
      <c r="L54" s="5" t="n"/>
      <c r="M54" s="5" t="n"/>
      <c r="N54" s="5" t="n"/>
      <c r="O54" s="5" t="n"/>
      <c r="P54" s="5" t="n"/>
      <c r="Q54" s="5" t="n"/>
      <c r="R54" s="5" t="n"/>
      <c r="S54" s="5" t="n"/>
      <c r="T54" s="5" t="n"/>
    </row>
    <row r="55" ht="15" customHeight="1" s="83">
      <c r="A55" s="47" t="inlineStr">
        <is>
          <t>Labor cost per administration</t>
        </is>
      </c>
      <c r="B55" s="63">
        <f>INDEX($B$43:$T$45,MATCH($B$48,$A$43:$A$45,0),5)</f>
        <v/>
      </c>
      <c r="C55" s="60">
        <f>B55</f>
        <v/>
      </c>
      <c r="D55" s="61" t="n"/>
      <c r="E55" s="5" t="n"/>
      <c r="F55" s="5" t="n"/>
      <c r="G55" s="5" t="n"/>
      <c r="H55" s="5" t="n"/>
      <c r="I55" s="5" t="n"/>
      <c r="J55" s="5" t="n"/>
      <c r="K55" s="5" t="n"/>
      <c r="L55" s="5" t="n"/>
      <c r="M55" s="5" t="n"/>
      <c r="N55" s="5" t="n"/>
      <c r="O55" s="5" t="n"/>
      <c r="P55" s="5" t="n"/>
      <c r="Q55" s="5" t="n"/>
      <c r="R55" s="5" t="n"/>
      <c r="S55" s="5" t="n"/>
      <c r="T55" s="5" t="n"/>
    </row>
    <row r="56" ht="15" customHeight="1" s="83">
      <c r="A56" s="47" t="inlineStr">
        <is>
          <t>Pharmacy handling cost per administration</t>
        </is>
      </c>
      <c r="B56" s="63">
        <f>INDEX($B$43:$T$45,MATCH($B$48,$A$43:$A$45,0),6)</f>
        <v/>
      </c>
      <c r="C56" s="60">
        <f>B56</f>
        <v/>
      </c>
      <c r="D56" s="61" t="n"/>
      <c r="E56" s="5" t="n"/>
      <c r="F56" s="5" t="n"/>
      <c r="G56" s="5" t="n"/>
      <c r="H56" s="5" t="n"/>
      <c r="I56" s="5" t="n"/>
      <c r="J56" s="5" t="n"/>
      <c r="K56" s="5" t="n"/>
      <c r="L56" s="5" t="n"/>
      <c r="M56" s="5" t="n"/>
      <c r="N56" s="5" t="n"/>
      <c r="O56" s="5" t="n"/>
      <c r="P56" s="5" t="n"/>
      <c r="Q56" s="5" t="n"/>
      <c r="R56" s="5" t="n"/>
      <c r="S56" s="5" t="n"/>
      <c r="T56" s="5" t="n"/>
    </row>
    <row r="57" ht="15" customHeight="1" s="83">
      <c r="A57" s="47" t="inlineStr">
        <is>
          <t>Billing/admin cost per administration</t>
        </is>
      </c>
      <c r="B57" s="63">
        <f>INDEX($B$43:$T$45,MATCH($B$48,$A$43:$A$45,0),7)</f>
        <v/>
      </c>
      <c r="C57" s="60">
        <f>B57</f>
        <v/>
      </c>
      <c r="D57" s="61" t="n"/>
      <c r="E57" s="5" t="n"/>
      <c r="F57" s="5" t="n"/>
      <c r="G57" s="5" t="n"/>
      <c r="H57" s="5" t="n"/>
      <c r="I57" s="5" t="n"/>
      <c r="J57" s="5" t="n"/>
      <c r="K57" s="5" t="n"/>
      <c r="L57" s="5" t="n"/>
      <c r="M57" s="5" t="n"/>
      <c r="N57" s="5" t="n"/>
      <c r="O57" s="5" t="n"/>
      <c r="P57" s="5" t="n"/>
      <c r="Q57" s="5" t="n"/>
      <c r="R57" s="5" t="n"/>
      <c r="S57" s="5" t="n"/>
      <c r="T57" s="5" t="n"/>
    </row>
    <row r="58" ht="15" customHeight="1" s="83">
      <c r="A58" s="47" t="inlineStr">
        <is>
          <t>Other non-drug operating cost</t>
        </is>
      </c>
      <c r="B58" s="63">
        <f>INDEX($B$43:$T$45,MATCH($B$48,$A$43:$A$45,0),8)</f>
        <v/>
      </c>
      <c r="C58" s="60">
        <f>B58</f>
        <v/>
      </c>
      <c r="D58" s="61" t="n"/>
      <c r="E58" s="5" t="n"/>
      <c r="F58" s="5" t="n"/>
      <c r="G58" s="5" t="n"/>
      <c r="H58" s="5" t="n"/>
      <c r="I58" s="5" t="n"/>
      <c r="J58" s="5" t="n"/>
      <c r="K58" s="5" t="n"/>
      <c r="L58" s="5" t="n"/>
      <c r="M58" s="5" t="n"/>
      <c r="N58" s="5" t="n"/>
      <c r="O58" s="5" t="n"/>
      <c r="P58" s="5" t="n"/>
      <c r="Q58" s="5" t="n"/>
      <c r="R58" s="5" t="n"/>
      <c r="S58" s="5" t="n"/>
      <c r="T58" s="5" t="n"/>
    </row>
    <row r="59" ht="15" customHeight="1" s="83">
      <c r="A59" s="47" t="inlineStr">
        <is>
          <t>Procedure revenue per administration</t>
        </is>
      </c>
      <c r="B59" s="63">
        <f>INDEX($B$43:$T$45,MATCH($B$48,$A$43:$A$45,0),9)</f>
        <v/>
      </c>
      <c r="C59" s="60">
        <f>B59</f>
        <v/>
      </c>
      <c r="D59" s="61" t="n"/>
      <c r="E59" s="5" t="n"/>
      <c r="F59" s="5" t="n"/>
      <c r="G59" s="5" t="n"/>
      <c r="H59" s="5" t="n"/>
      <c r="I59" s="5" t="n"/>
      <c r="J59" s="5" t="n"/>
      <c r="K59" s="5" t="n"/>
      <c r="L59" s="5" t="n"/>
      <c r="M59" s="5" t="n"/>
      <c r="N59" s="5" t="n"/>
      <c r="O59" s="5" t="n"/>
      <c r="P59" s="5" t="n"/>
      <c r="Q59" s="5" t="n"/>
      <c r="R59" s="5" t="n"/>
      <c r="S59" s="5" t="n"/>
      <c r="T59" s="5" t="n"/>
    </row>
    <row r="60" ht="15" customHeight="1" s="83">
      <c r="A60" s="47" t="inlineStr">
        <is>
          <t>Wastage cost per administration</t>
        </is>
      </c>
      <c r="B60" s="63">
        <f>INDEX($B$43:$T$45,MATCH($B$48,$A$43:$A$45,0),10)</f>
        <v/>
      </c>
      <c r="C60" s="60">
        <f>B60</f>
        <v/>
      </c>
      <c r="D60" s="61" t="n"/>
      <c r="E60" s="5" t="n"/>
      <c r="F60" s="5" t="n"/>
      <c r="G60" s="5" t="n"/>
      <c r="H60" s="5" t="n"/>
      <c r="I60" s="5" t="n"/>
      <c r="J60" s="5" t="n"/>
      <c r="K60" s="5" t="n"/>
      <c r="L60" s="5" t="n"/>
      <c r="M60" s="5" t="n"/>
      <c r="N60" s="5" t="n"/>
      <c r="O60" s="5" t="n"/>
      <c r="P60" s="5" t="n"/>
      <c r="Q60" s="5" t="n"/>
      <c r="R60" s="5" t="n"/>
      <c r="S60" s="5" t="n"/>
      <c r="T60" s="5" t="n"/>
    </row>
    <row r="61" ht="15" customHeight="1" s="83">
      <c r="A61" s="47" t="inlineStr">
        <is>
          <t>Financing rate</t>
        </is>
      </c>
      <c r="B61" s="59">
        <f>INDEX($B$43:$T$45,MATCH($B$48,$A$43:$A$45,0),11)</f>
        <v/>
      </c>
      <c r="C61" s="60">
        <f>B61</f>
        <v/>
      </c>
      <c r="D61" s="61" t="n"/>
      <c r="E61" s="5" t="n"/>
      <c r="F61" s="5" t="n"/>
      <c r="G61" s="5" t="n"/>
      <c r="H61" s="5" t="n"/>
      <c r="I61" s="5" t="n"/>
      <c r="J61" s="5" t="n"/>
      <c r="K61" s="5" t="n"/>
      <c r="L61" s="5" t="n"/>
      <c r="M61" s="5" t="n"/>
      <c r="N61" s="5" t="n"/>
      <c r="O61" s="5" t="n"/>
      <c r="P61" s="5" t="n"/>
      <c r="Q61" s="5" t="n"/>
      <c r="R61" s="5" t="n"/>
      <c r="S61" s="5" t="n"/>
      <c r="T61" s="5" t="n"/>
    </row>
    <row r="62" ht="15" customHeight="1" s="83">
      <c r="A62" s="47" t="inlineStr">
        <is>
          <t>Manufacturer support per administration</t>
        </is>
      </c>
      <c r="B62" s="63">
        <f>INDEX($B$43:$T$45,MATCH($B$48,$A$43:$A$45,0),12)</f>
        <v/>
      </c>
      <c r="C62" s="60">
        <f>B62</f>
        <v/>
      </c>
      <c r="D62" s="61" t="n"/>
      <c r="E62" s="5" t="n"/>
      <c r="F62" s="5" t="n"/>
      <c r="G62" s="5" t="n"/>
      <c r="H62" s="5" t="n"/>
      <c r="I62" s="5" t="n"/>
      <c r="J62" s="5" t="n"/>
      <c r="K62" s="5" t="n"/>
      <c r="L62" s="5" t="n"/>
      <c r="M62" s="5" t="n"/>
      <c r="N62" s="5" t="n"/>
      <c r="O62" s="5" t="n"/>
      <c r="P62" s="5" t="n"/>
      <c r="Q62" s="5" t="n"/>
      <c r="R62" s="5" t="n"/>
      <c r="S62" s="5" t="n"/>
      <c r="T62" s="5" t="n"/>
    </row>
    <row r="63" ht="15" customHeight="1" s="83">
      <c r="A63" s="47" t="inlineStr">
        <is>
          <t>Manual allowed amount</t>
        </is>
      </c>
      <c r="B63" s="63">
        <f>INDEX($B$43:$T$45,MATCH($B$48,$A$43:$A$45,0),13)</f>
        <v/>
      </c>
      <c r="C63" s="60">
        <f>B63</f>
        <v/>
      </c>
      <c r="D63" s="61" t="n"/>
      <c r="E63" s="5" t="n"/>
      <c r="F63" s="5" t="n"/>
      <c r="G63" s="5" t="n"/>
      <c r="H63" s="5" t="n"/>
      <c r="I63" s="5" t="n"/>
      <c r="J63" s="5" t="n"/>
      <c r="K63" s="5" t="n"/>
      <c r="L63" s="5" t="n"/>
      <c r="M63" s="5" t="n"/>
      <c r="N63" s="5" t="n"/>
      <c r="O63" s="5" t="n"/>
      <c r="P63" s="5" t="n"/>
      <c r="Q63" s="5" t="n"/>
      <c r="R63" s="5" t="n"/>
      <c r="S63" s="5" t="n"/>
      <c r="T63" s="5" t="n"/>
    </row>
    <row r="64" ht="15" customHeight="1" s="83">
      <c r="A64" s="47" t="inlineStr">
        <is>
          <t>Contracted rate</t>
        </is>
      </c>
      <c r="B64" s="63">
        <f>INDEX($B$43:$T$45,MATCH($B$48,$A$43:$A$45,0),14)</f>
        <v/>
      </c>
      <c r="C64" s="60">
        <f>B64</f>
        <v/>
      </c>
      <c r="D64" s="61" t="n"/>
      <c r="E64" s="5" t="n"/>
      <c r="F64" s="5" t="n"/>
      <c r="G64" s="5" t="n"/>
      <c r="H64" s="5" t="n"/>
      <c r="I64" s="5" t="n"/>
      <c r="J64" s="5" t="n"/>
      <c r="K64" s="5" t="n"/>
      <c r="L64" s="5" t="n"/>
      <c r="M64" s="5" t="n"/>
      <c r="N64" s="5" t="n"/>
      <c r="O64" s="5" t="n"/>
      <c r="P64" s="5" t="n"/>
      <c r="Q64" s="5" t="n"/>
      <c r="R64" s="5" t="n"/>
      <c r="S64" s="5" t="n"/>
      <c r="T64" s="5" t="n"/>
    </row>
    <row r="65" ht="15" customHeight="1" s="83">
      <c r="A65" s="47" t="inlineStr">
        <is>
          <t>AWP</t>
        </is>
      </c>
      <c r="B65" s="63">
        <f>INDEX($B$43:$T$45,MATCH($B$48,$A$43:$A$45,0),15)</f>
        <v/>
      </c>
      <c r="C65" s="60">
        <f>B65</f>
        <v/>
      </c>
      <c r="D65" s="61" t="n"/>
      <c r="E65" s="5" t="n"/>
      <c r="F65" s="5" t="n"/>
      <c r="G65" s="5" t="n"/>
      <c r="H65" s="5" t="n"/>
      <c r="I65" s="5" t="n"/>
      <c r="J65" s="5" t="n"/>
      <c r="K65" s="5" t="n"/>
      <c r="L65" s="5" t="n"/>
      <c r="M65" s="5" t="n"/>
      <c r="N65" s="5" t="n"/>
      <c r="O65" s="5" t="n"/>
      <c r="P65" s="5" t="n"/>
      <c r="Q65" s="5" t="n"/>
      <c r="R65" s="5" t="n"/>
      <c r="S65" s="5" t="n"/>
      <c r="T65" s="5" t="n"/>
    </row>
    <row r="66" ht="15" customHeight="1" s="83">
      <c r="A66" s="47" t="inlineStr">
        <is>
          <t>ASP</t>
        </is>
      </c>
      <c r="B66" s="63">
        <f>INDEX($B$43:$T$45,MATCH($B$48,$A$43:$A$45,0),16)</f>
        <v/>
      </c>
      <c r="C66" s="60">
        <f>B66</f>
        <v/>
      </c>
      <c r="D66" s="61" t="n"/>
      <c r="E66" s="5" t="n"/>
      <c r="F66" s="5" t="n"/>
      <c r="G66" s="5" t="n"/>
      <c r="H66" s="5" t="n"/>
      <c r="I66" s="5" t="n"/>
      <c r="J66" s="5" t="n"/>
      <c r="K66" s="5" t="n"/>
      <c r="L66" s="5" t="n"/>
      <c r="M66" s="5" t="n"/>
      <c r="N66" s="5" t="n"/>
      <c r="O66" s="5" t="n"/>
      <c r="P66" s="5" t="n"/>
      <c r="Q66" s="5" t="n"/>
      <c r="R66" s="5" t="n"/>
      <c r="S66" s="5" t="n"/>
      <c r="T66" s="5" t="n"/>
    </row>
    <row r="67" ht="15" customHeight="1" s="83">
      <c r="A67" s="47" t="inlineStr">
        <is>
          <t>Manual 340B acquisition</t>
        </is>
      </c>
      <c r="B67" s="63">
        <f>INDEX($B$43:$T$45,MATCH($B$48,$A$43:$A$45,0),17)</f>
        <v/>
      </c>
      <c r="C67" s="60">
        <f>B67</f>
        <v/>
      </c>
      <c r="D67" s="61" t="n"/>
      <c r="E67" s="5" t="n"/>
      <c r="F67" s="5" t="n"/>
      <c r="G67" s="5" t="n"/>
      <c r="H67" s="5" t="n"/>
      <c r="I67" s="5" t="n"/>
      <c r="J67" s="5" t="n"/>
      <c r="K67" s="5" t="n"/>
      <c r="L67" s="5" t="n"/>
      <c r="M67" s="5" t="n"/>
      <c r="N67" s="5" t="n"/>
      <c r="O67" s="5" t="n"/>
      <c r="P67" s="5" t="n"/>
      <c r="Q67" s="5" t="n"/>
      <c r="R67" s="5" t="n"/>
      <c r="S67" s="5" t="n"/>
      <c r="T67" s="5" t="n"/>
    </row>
    <row r="68" ht="15" customHeight="1" s="83">
      <c r="A68" s="47" t="inlineStr">
        <is>
          <t>Reimbursement percentage</t>
        </is>
      </c>
      <c r="B68" s="59">
        <f>INDEX($B$43:$T$45,MATCH($B$48,$A$43:$A$45,0),18)</f>
        <v/>
      </c>
      <c r="C68" s="60">
        <f>B68</f>
        <v/>
      </c>
      <c r="D68" s="61" t="n"/>
      <c r="E68" s="5" t="n"/>
      <c r="F68" s="5" t="n"/>
      <c r="G68" s="5" t="n"/>
      <c r="H68" s="5" t="n"/>
      <c r="I68" s="5" t="n"/>
      <c r="J68" s="5" t="n"/>
      <c r="K68" s="5" t="n"/>
      <c r="L68" s="5" t="n"/>
      <c r="M68" s="5" t="n"/>
      <c r="N68" s="5" t="n"/>
      <c r="O68" s="5" t="n"/>
      <c r="P68" s="5" t="n"/>
      <c r="Q68" s="5" t="n"/>
      <c r="R68" s="5" t="n"/>
      <c r="S68" s="5" t="n"/>
      <c r="T68" s="5" t="n"/>
    </row>
    <row r="69" ht="15" customHeight="1" s="83">
      <c r="A69" s="47" t="inlineStr">
        <is>
          <t>340B acquisition assumption</t>
        </is>
      </c>
      <c r="B69" s="47">
        <f>INDEX($B$43:$T$45,MATCH($B$48,$A$43:$A$45,0),19)</f>
        <v/>
      </c>
      <c r="C69" s="47">
        <f>B69</f>
        <v/>
      </c>
      <c r="D69" s="5" t="n"/>
      <c r="E69" s="5" t="n"/>
      <c r="F69" s="5" t="n"/>
      <c r="G69" s="5" t="n"/>
      <c r="H69" s="5" t="n"/>
      <c r="I69" s="5" t="n"/>
      <c r="J69" s="5" t="n"/>
      <c r="K69" s="5" t="n"/>
      <c r="L69" s="5" t="n"/>
      <c r="M69" s="5" t="n"/>
      <c r="N69" s="5" t="n"/>
      <c r="O69" s="5" t="n"/>
      <c r="P69" s="5" t="n"/>
      <c r="Q69" s="5" t="n"/>
      <c r="R69" s="5" t="n"/>
      <c r="S69" s="5" t="n"/>
      <c r="T69" s="5" t="n"/>
    </row>
  </sheetData>
  <mergeCells count="1">
    <mergeCell ref="A1:H1"/>
  </mergeCells>
  <conditionalFormatting sqref="N32:N40">
    <cfRule type="expression" priority="1" dxfId="2">
      <formula>$N32="High margin potential"</formula>
    </cfRule>
    <cfRule type="expression" priority="2" dxfId="1">
      <formula>$N32="Moderate margin potential"</formula>
    </cfRule>
    <cfRule type="expression" priority="3" dxfId="0">
      <formula>$N32="Lower margin potential"</formula>
    </cfRule>
    <cfRule type="expression" priority="4" dxfId="2">
      <formula>$N32="Higher profitability"</formula>
    </cfRule>
    <cfRule type="expression" priority="5" dxfId="1">
      <formula>$N32="Moderate profitability"</formula>
    </cfRule>
    <cfRule type="expression" priority="6" dxfId="0">
      <formula>$N32="Lower profitability"</formula>
    </cfRule>
  </conditionalFormatting>
  <dataValidations count="13">
    <dataValidation sqref="B2" showDropDown="0" showInputMessage="0" showErrorMessage="0" allowBlank="0" type="list">
      <formula1>_xlfn._LONGTEXT("Default 340B COE HOPD, Pass-Through Active,340B COE HOPD, Pre-Pass-Through,340B COE HOPD, Product-Specific HCPCS Active,Commercial Buy-and-Bill, 340B HOPD,Commercial White-Bagging,Medicaid Managed Care, 340B COE,Medicaid FFS, 340B COE,Non-340B Sensitivity",",Physician Office Sensitivity")</formula1>
    </dataValidation>
    <dataValidation sqref="B5" showDropDown="0" showInputMessage="0" showErrorMessage="0" allowBlank="0" type="list">
      <formula1>"HOPD,Physician Office,Other"</formula1>
    </dataValidation>
    <dataValidation sqref="B6" showDropDown="0" showInputMessage="0" showErrorMessage="0" allowBlank="0" type="list">
      <formula1>"Commercial,Medicaid FFS,Medicaid Managed Care,Dual,Medicare,Mixed"</formula1>
    </dataValidation>
    <dataValidation sqref="B7" showDropDown="0" showInputMessage="0" showErrorMessage="0" allowBlank="0" type="list">
      <formula1>"Yes,No"</formula1>
    </dataValidation>
    <dataValidation sqref="B8" showDropDown="0" showInputMessage="0" showErrorMessage="0" allowBlank="0" type="list">
      <formula1>"Carve-in,Carve-out,Not applicable"</formula1>
    </dataValidation>
    <dataValidation sqref="B9" showDropDown="0" showInputMessage="0" showErrorMessage="0" allowBlank="0" type="list">
      <formula1>"Pre-code / NOC,Pass-through active,Product-specific HCPCS active"</formula1>
    </dataValidation>
    <dataValidation sqref="B10" showDropDown="0" showInputMessage="0" showErrorMessage="0" allowBlank="0" type="list">
      <formula1>"Active,Not active,Not applicable"</formula1>
    </dataValidation>
    <dataValidation sqref="B11" showDropDown="0" showInputMessage="0" showErrorMessage="0" allowBlank="0" type="list">
      <formula1>"Buy-and-bill,White-bagging,Mixed"</formula1>
    </dataValidation>
    <dataValidation sqref="B12" showDropDown="0" showInputMessage="0" showErrorMessage="0" allowBlank="0" type="list">
      <formula1>"Pre-ASP,ASP available"</formula1>
    </dataValidation>
    <dataValidation sqref="B13" showDropDown="0" showInputMessage="0" showErrorMessage="0" allowBlank="0" type="list">
      <formula1>"WAC %,AWP %,ASP %,Contracted rate,Manual entry"</formula1>
    </dataValidation>
    <dataValidation sqref="B14" showDropDown="0" showInputMessage="0" showErrorMessage="0" allowBlank="0" type="list">
      <formula1>"Primary 23.1%,Pediatric 17.1%,Manual entry"</formula1>
    </dataValidation>
    <dataValidation sqref="B15" showDropDown="0" showInputMessage="0" showErrorMessage="0" allowBlank="0" type="list">
      <formula1>"Confirmed,Not confirmed"</formula1>
    </dataValidation>
    <dataValidation sqref="B48" showDropDown="0" showInputMessage="0" showErrorMessage="0" allowBlank="0" type="list">
      <formula1>"Base Case: 340B COE HOPD, Buy-and-Bill,Conservative Case: Launch Friction / Manual Review,White-Bagging Case"</formula1>
    </dataValidation>
  </dataValidations>
  <pageMargins left="0.6" right="0.6" top="0.7" bottom="0.7" header="0.2" footer="0.2"/>
  <pageSetup orientation="portrait"/>
</worksheet>
</file>

<file path=xl/worksheets/sheet4.xml><?xml version="1.0" encoding="utf-8"?>
<worksheet xmlns="http://schemas.openxmlformats.org/spreadsheetml/2006/main">
  <sheetPr>
    <outlinePr summaryBelow="1" summaryRight="1"/>
    <pageSetUpPr/>
  </sheetPr>
  <dimension ref="A1:H64"/>
  <sheetViews>
    <sheetView showGridLines="0" zoomScale="115" workbookViewId="0">
      <pane ySplit="3" topLeftCell="A4" activePane="bottomLeft" state="frozen"/>
      <selection pane="bottomLeft" activeCell="A1" sqref="A1"/>
    </sheetView>
  </sheetViews>
  <sheetFormatPr baseColWidth="10" defaultColWidth="8.83203125" defaultRowHeight="14"/>
  <cols>
    <col width="52" customWidth="1" style="83" min="1" max="1"/>
    <col width="28" customWidth="1" style="83" min="2" max="2"/>
    <col width="16" customWidth="1" style="83" min="3" max="4"/>
  </cols>
  <sheetData>
    <row r="1" ht="17" customHeight="1" s="83">
      <c r="A1" s="85" t="inlineStr">
        <is>
          <t>Calculator</t>
        </is>
      </c>
    </row>
    <row r="2" ht="15" customHeight="1" s="83">
      <c r="A2" s="1" t="n"/>
      <c r="B2" s="1" t="n"/>
      <c r="C2" s="1" t="n"/>
      <c r="D2" s="1" t="n"/>
      <c r="E2" s="1" t="n"/>
      <c r="F2" s="1" t="n"/>
      <c r="G2" s="1" t="n"/>
      <c r="H2" s="1" t="n"/>
    </row>
    <row r="3" ht="15" customHeight="1" s="83">
      <c r="A3" s="20" t="inlineStr">
        <is>
          <t>Input References</t>
        </is>
      </c>
      <c r="B3" s="20" t="inlineStr">
        <is>
          <t>Value</t>
        </is>
      </c>
      <c r="C3" s="1" t="n"/>
      <c r="D3" s="1" t="n"/>
      <c r="E3" s="1" t="n"/>
      <c r="F3" s="1" t="n"/>
      <c r="G3" s="1" t="n"/>
      <c r="H3" s="1" t="n"/>
    </row>
    <row r="4" ht="15" customHeight="1" s="83">
      <c r="A4" s="84" t="inlineStr">
        <is>
          <t>Site_of_Care</t>
        </is>
      </c>
      <c r="B4" s="31">
        <f>'Scenario Inputs'!$D$5</f>
        <v/>
      </c>
      <c r="C4" s="1" t="n"/>
      <c r="D4" s="1" t="n"/>
      <c r="E4" s="1" t="n"/>
      <c r="F4" s="1" t="n"/>
      <c r="G4" s="1" t="n"/>
      <c r="H4" s="1" t="n"/>
    </row>
    <row r="5" ht="15" customHeight="1" s="83">
      <c r="A5" s="84" t="inlineStr">
        <is>
          <t>Payer_Type</t>
        </is>
      </c>
      <c r="B5" s="31">
        <f>'Scenario Inputs'!$D$6</f>
        <v/>
      </c>
      <c r="C5" s="1" t="n"/>
      <c r="D5" s="1" t="n"/>
      <c r="E5" s="1" t="n"/>
      <c r="F5" s="1" t="n"/>
      <c r="G5" s="1" t="n"/>
      <c r="H5" s="1" t="n"/>
    </row>
    <row r="6" ht="15" customHeight="1" s="83">
      <c r="A6" s="82" t="inlineStr">
        <is>
          <t>340B_Status</t>
        </is>
      </c>
      <c r="B6" s="31">
        <f>'Scenario Inputs'!$D$7</f>
        <v/>
      </c>
      <c r="C6" s="1" t="n"/>
      <c r="D6" s="1" t="n"/>
      <c r="E6" s="1" t="n"/>
      <c r="F6" s="1" t="n"/>
      <c r="G6" s="1" t="n"/>
      <c r="H6" s="1" t="n"/>
    </row>
    <row r="7" ht="15" customHeight="1" s="83">
      <c r="A7" s="82" t="inlineStr">
        <is>
          <t>340B_Treatment</t>
        </is>
      </c>
      <c r="B7" s="31">
        <f>'Scenario Inputs'!$D$8</f>
        <v/>
      </c>
      <c r="C7" s="1" t="n"/>
      <c r="D7" s="1" t="n"/>
      <c r="E7" s="1" t="n"/>
      <c r="F7" s="1" t="n"/>
      <c r="G7" s="1" t="n"/>
      <c r="H7" s="1" t="n"/>
    </row>
    <row r="8" ht="15" customHeight="1" s="83">
      <c r="A8" s="82" t="inlineStr">
        <is>
          <t>Coding_Status</t>
        </is>
      </c>
      <c r="B8" s="31">
        <f>'Scenario Inputs'!$D$9</f>
        <v/>
      </c>
      <c r="C8" s="1" t="n"/>
      <c r="D8" s="1" t="n"/>
      <c r="E8" s="1" t="n"/>
      <c r="F8" s="1" t="n"/>
      <c r="G8" s="1" t="n"/>
      <c r="H8" s="1" t="n"/>
    </row>
    <row r="9" ht="15" customHeight="1" s="83">
      <c r="A9" s="82" t="inlineStr">
        <is>
          <t>OPPS_Pass_Through_Status</t>
        </is>
      </c>
      <c r="B9" s="31">
        <f>'Scenario Inputs'!$D$10</f>
        <v/>
      </c>
      <c r="C9" s="1" t="n"/>
      <c r="D9" s="1" t="n"/>
      <c r="E9" s="1" t="n"/>
      <c r="F9" s="1" t="n"/>
      <c r="G9" s="1" t="n"/>
      <c r="H9" s="1" t="n"/>
    </row>
    <row r="10" ht="15" customHeight="1" s="83">
      <c r="A10" s="84" t="inlineStr">
        <is>
          <t>Sourcing_Model</t>
        </is>
      </c>
      <c r="B10" s="31">
        <f>'Scenario Inputs'!$D$11</f>
        <v/>
      </c>
      <c r="C10" s="1" t="n"/>
      <c r="D10" s="1" t="n"/>
      <c r="E10" s="1" t="n"/>
      <c r="F10" s="1" t="n"/>
      <c r="G10" s="1" t="n"/>
      <c r="H10" s="1" t="n"/>
    </row>
    <row r="11" ht="15" customHeight="1" s="83">
      <c r="A11" s="82" t="inlineStr">
        <is>
          <t>ASP_Status</t>
        </is>
      </c>
      <c r="B11" s="31">
        <f>'Scenario Inputs'!$D$12</f>
        <v/>
      </c>
      <c r="C11" s="1" t="n"/>
      <c r="D11" s="1" t="n"/>
      <c r="E11" s="1" t="n"/>
      <c r="F11" s="1" t="n"/>
      <c r="G11" s="1" t="n"/>
      <c r="H11" s="1" t="n"/>
    </row>
    <row r="12" ht="15" customHeight="1" s="83">
      <c r="A12" s="82" t="inlineStr">
        <is>
          <t>Reimbursement_Basis</t>
        </is>
      </c>
      <c r="B12" s="31">
        <f>'Scenario Inputs'!$D$13</f>
        <v/>
      </c>
      <c r="C12" s="1" t="n"/>
      <c r="D12" s="1" t="n"/>
      <c r="E12" s="1" t="n"/>
      <c r="F12" s="1" t="n"/>
      <c r="G12" s="1" t="n"/>
      <c r="H12" s="1" t="n"/>
    </row>
    <row r="13" ht="15" customHeight="1" s="83">
      <c r="A13" s="82" t="inlineStr">
        <is>
          <t>340B_Acquisition_Assumption</t>
        </is>
      </c>
      <c r="B13" s="31">
        <f>'Scenario Inputs'!$D$14</f>
        <v/>
      </c>
      <c r="C13" s="1" t="n"/>
      <c r="D13" s="1" t="n"/>
      <c r="E13" s="1" t="n"/>
      <c r="F13" s="1" t="n"/>
      <c r="G13" s="1" t="n"/>
      <c r="H13" s="1" t="n"/>
    </row>
    <row r="14" ht="15" customHeight="1" s="83">
      <c r="A14" s="82" t="inlineStr">
        <is>
          <t>Prior_Authorization_Status</t>
        </is>
      </c>
      <c r="B14" s="31">
        <f>'Scenario Inputs'!$D$15</f>
        <v/>
      </c>
      <c r="C14" s="1" t="n"/>
      <c r="D14" s="1" t="n"/>
      <c r="E14" s="1" t="n"/>
      <c r="F14" s="1" t="n"/>
      <c r="G14" s="1" t="n"/>
      <c r="H14" s="1" t="n"/>
    </row>
    <row r="15" ht="15" customHeight="1" s="83">
      <c r="A15" s="82" t="inlineStr">
        <is>
          <t>White_Bagging_Percentage</t>
        </is>
      </c>
      <c r="B15" s="32">
        <f>Assumptions!$B$39</f>
        <v/>
      </c>
      <c r="C15" s="1" t="n"/>
      <c r="D15" s="1" t="n"/>
      <c r="E15" s="1" t="n"/>
      <c r="F15" s="1" t="n"/>
      <c r="G15" s="1" t="n"/>
      <c r="H15" s="1" t="n"/>
    </row>
    <row r="16" ht="15" customHeight="1" s="83">
      <c r="A16" s="84" t="inlineStr">
        <is>
          <t>Denial_Rate</t>
        </is>
      </c>
      <c r="B16" s="32">
        <f>Assumptions!$B$40</f>
        <v/>
      </c>
      <c r="C16" s="1" t="n"/>
      <c r="D16" s="1" t="n"/>
      <c r="E16" s="1" t="n"/>
      <c r="F16" s="1" t="n"/>
      <c r="G16" s="1" t="n"/>
      <c r="H16" s="1" t="n"/>
    </row>
    <row r="17" ht="15" customHeight="1" s="83">
      <c r="A17" s="84" t="inlineStr">
        <is>
          <t>Appeal_Recovery_Rate</t>
        </is>
      </c>
      <c r="B17" s="32">
        <f>Assumptions!$B$41</f>
        <v/>
      </c>
      <c r="C17" s="1" t="n"/>
      <c r="D17" s="1" t="n"/>
      <c r="E17" s="1" t="n"/>
      <c r="F17" s="1" t="n"/>
      <c r="G17" s="1" t="n"/>
      <c r="H17" s="1" t="n"/>
    </row>
    <row r="18" ht="15" customHeight="1" s="83">
      <c r="A18" s="82" t="inlineStr">
        <is>
          <t>Days_To_Payment</t>
        </is>
      </c>
      <c r="B18" s="33">
        <f>Assumptions!$B$42</f>
        <v/>
      </c>
      <c r="C18" s="1" t="n"/>
      <c r="D18" s="1" t="n"/>
      <c r="E18" s="1" t="n"/>
      <c r="F18" s="1" t="n"/>
      <c r="G18" s="1" t="n"/>
      <c r="H18" s="1" t="n"/>
    </row>
    <row r="19" ht="15" customHeight="1" s="83">
      <c r="A19" s="82" t="inlineStr">
        <is>
          <t>Reimbursement_Percentage</t>
        </is>
      </c>
      <c r="B19" s="32">
        <f>Assumptions!$B$56</f>
        <v/>
      </c>
      <c r="C19" s="1" t="n"/>
      <c r="D19" s="1" t="n"/>
      <c r="E19" s="1" t="n"/>
      <c r="F19" s="1" t="n"/>
      <c r="G19" s="1" t="n"/>
      <c r="H19" s="1" t="n"/>
    </row>
    <row r="20" ht="15" customHeight="1" s="83">
      <c r="A20" s="82" t="inlineStr">
        <is>
          <t>WAC</t>
        </is>
      </c>
      <c r="B20" s="89">
        <f>Assumptions!$B$5</f>
        <v/>
      </c>
      <c r="C20" s="1" t="n"/>
      <c r="D20" s="1" t="n"/>
      <c r="E20" s="1" t="n"/>
      <c r="F20" s="1" t="n"/>
      <c r="G20" s="1" t="n"/>
      <c r="H20" s="1" t="n"/>
    </row>
    <row r="21" ht="15" customHeight="1" s="83">
      <c r="A21" s="82" t="inlineStr">
        <is>
          <t>AWP</t>
        </is>
      </c>
      <c r="B21" s="89">
        <f>Assumptions!$B$53</f>
        <v/>
      </c>
      <c r="C21" s="1" t="n"/>
      <c r="D21" s="1" t="n"/>
      <c r="E21" s="1" t="n"/>
      <c r="F21" s="1" t="n"/>
      <c r="G21" s="1" t="n"/>
      <c r="H21" s="1" t="n"/>
    </row>
    <row r="22" ht="15" customHeight="1" s="83">
      <c r="A22" s="82" t="inlineStr">
        <is>
          <t>ASP</t>
        </is>
      </c>
      <c r="B22" s="89">
        <f>Assumptions!$B$54</f>
        <v/>
      </c>
      <c r="C22" s="1" t="n"/>
      <c r="D22" s="1" t="n"/>
      <c r="E22" s="1" t="n"/>
      <c r="F22" s="1" t="n"/>
      <c r="G22" s="1" t="n"/>
      <c r="H22" s="1" t="n"/>
    </row>
    <row r="23" ht="15" customHeight="1" s="83">
      <c r="A23" s="84" t="inlineStr">
        <is>
          <t>Contracted_Rate</t>
        </is>
      </c>
      <c r="B23" s="89">
        <f>Assumptions!$B$52</f>
        <v/>
      </c>
      <c r="C23" s="1" t="n"/>
      <c r="D23" s="1" t="n"/>
      <c r="E23" s="1" t="n"/>
      <c r="F23" s="1" t="n"/>
      <c r="G23" s="1" t="n"/>
      <c r="H23" s="1" t="n"/>
    </row>
    <row r="24" ht="15" customHeight="1" s="83">
      <c r="A24" s="82" t="inlineStr">
        <is>
          <t>Manual_Allowed_Amount</t>
        </is>
      </c>
      <c r="B24" s="89">
        <f>Assumptions!$B$51</f>
        <v/>
      </c>
      <c r="C24" s="1" t="n"/>
      <c r="D24" s="1" t="n"/>
      <c r="E24" s="1" t="n"/>
      <c r="F24" s="1" t="n"/>
      <c r="G24" s="1" t="n"/>
      <c r="H24" s="1" t="n"/>
    </row>
    <row r="25" ht="15" customHeight="1" s="83">
      <c r="A25" s="82" t="inlineStr">
        <is>
          <t>Labor_Cost_Per_Admin</t>
        </is>
      </c>
      <c r="B25" s="89">
        <f>Assumptions!$B$43</f>
        <v/>
      </c>
      <c r="C25" s="1" t="n"/>
      <c r="D25" s="1" t="n"/>
      <c r="E25" s="1" t="n"/>
      <c r="F25" s="1" t="n"/>
      <c r="G25" s="1" t="n"/>
      <c r="H25" s="1" t="n"/>
    </row>
    <row r="26" ht="15" customHeight="1" s="83">
      <c r="A26" s="82" t="inlineStr">
        <is>
          <t>Pharmacy_Handling_Cost_Per_Admin</t>
        </is>
      </c>
      <c r="B26" s="89">
        <f>Assumptions!$B$44</f>
        <v/>
      </c>
      <c r="C26" s="1" t="n"/>
      <c r="D26" s="1" t="n"/>
      <c r="E26" s="1" t="n"/>
      <c r="F26" s="1" t="n"/>
      <c r="G26" s="1" t="n"/>
      <c r="H26" s="1" t="n"/>
    </row>
    <row r="27" ht="15" customHeight="1" s="83">
      <c r="A27" s="82" t="inlineStr">
        <is>
          <t>Billing_Admin_Cost_Per_Admin</t>
        </is>
      </c>
      <c r="B27" s="89">
        <f>Assumptions!$B$45</f>
        <v/>
      </c>
      <c r="C27" s="1" t="n"/>
      <c r="D27" s="1" t="n"/>
      <c r="E27" s="1" t="n"/>
      <c r="F27" s="1" t="n"/>
      <c r="G27" s="1" t="n"/>
      <c r="H27" s="1" t="n"/>
    </row>
    <row r="28" ht="15" customHeight="1" s="83">
      <c r="A28" s="82" t="inlineStr">
        <is>
          <t>Other_Non_Drug_Cost</t>
        </is>
      </c>
      <c r="B28" s="89">
        <f>Assumptions!$B$46</f>
        <v/>
      </c>
      <c r="C28" s="1" t="n"/>
      <c r="D28" s="1" t="n"/>
      <c r="E28" s="1" t="n"/>
      <c r="F28" s="1" t="n"/>
      <c r="G28" s="1" t="n"/>
      <c r="H28" s="1" t="n"/>
    </row>
    <row r="29" ht="15" customHeight="1" s="83">
      <c r="A29" s="82" t="inlineStr">
        <is>
          <t>Wastage_Cost_Per_Admin</t>
        </is>
      </c>
      <c r="B29" s="89">
        <f>Assumptions!$B$48</f>
        <v/>
      </c>
      <c r="C29" s="1" t="n"/>
      <c r="D29" s="1" t="n"/>
      <c r="E29" s="1" t="n"/>
      <c r="F29" s="1" t="n"/>
      <c r="G29" s="1" t="n"/>
      <c r="H29" s="1" t="n"/>
    </row>
    <row r="30" ht="15" customHeight="1" s="83">
      <c r="A30" s="84" t="inlineStr">
        <is>
          <t>Financing_Rate</t>
        </is>
      </c>
      <c r="B30" s="89">
        <f>Assumptions!$B$49</f>
        <v/>
      </c>
      <c r="C30" s="1" t="n"/>
      <c r="D30" s="1" t="n"/>
      <c r="E30" s="1" t="n"/>
      <c r="F30" s="1" t="n"/>
      <c r="G30" s="1" t="n"/>
      <c r="H30" s="1" t="n"/>
    </row>
    <row r="31" ht="15" customHeight="1" s="83">
      <c r="A31" s="82" t="inlineStr">
        <is>
          <t>Procedure_Revenue_Per_Dose</t>
        </is>
      </c>
      <c r="B31" s="89">
        <f>Assumptions!$B$47</f>
        <v/>
      </c>
      <c r="C31" s="1" t="n"/>
      <c r="D31" s="1" t="n"/>
      <c r="E31" s="1" t="n"/>
      <c r="F31" s="1" t="n"/>
      <c r="G31" s="1" t="n"/>
      <c r="H31" s="1" t="n"/>
    </row>
    <row r="32" ht="15" customHeight="1" s="83">
      <c r="A32" s="82" t="inlineStr">
        <is>
          <t>Manufacturer_Support_Per_Dose</t>
        </is>
      </c>
      <c r="B32" s="89">
        <f>Assumptions!$B$50</f>
        <v/>
      </c>
      <c r="C32" s="1" t="n"/>
      <c r="D32" s="1" t="n"/>
      <c r="E32" s="1" t="n"/>
      <c r="F32" s="1" t="n"/>
      <c r="G32" s="1" t="n"/>
      <c r="H32" s="1" t="n"/>
    </row>
    <row r="33" ht="15" customHeight="1" s="83">
      <c r="A33" s="82" t="inlineStr">
        <is>
          <t>Manual_340B_Acquisition</t>
        </is>
      </c>
      <c r="B33" s="89">
        <f>Assumptions!$B$55</f>
        <v/>
      </c>
      <c r="C33" s="1" t="n"/>
      <c r="D33" s="1" t="n"/>
      <c r="E33" s="1" t="n"/>
      <c r="F33" s="1" t="n"/>
      <c r="G33" s="1" t="n"/>
      <c r="H33" s="1" t="n"/>
    </row>
    <row r="34" ht="15" customHeight="1" s="83">
      <c r="A34" s="13" t="n"/>
      <c r="B34" s="12" t="n"/>
      <c r="C34" s="1" t="n"/>
      <c r="D34" s="1" t="n"/>
      <c r="E34" s="1" t="n"/>
      <c r="F34" s="1" t="n"/>
      <c r="G34" s="1" t="n"/>
      <c r="H34" s="1" t="n"/>
    </row>
    <row r="35" ht="15" customHeight="1" s="83">
      <c r="A35" s="20" t="inlineStr">
        <is>
          <t>Model Outputs</t>
        </is>
      </c>
      <c r="B35" s="30" t="inlineStr">
        <is>
          <t>Value</t>
        </is>
      </c>
      <c r="C35" s="1" t="n"/>
      <c r="D35" s="1" t="n"/>
      <c r="E35" s="1" t="n"/>
      <c r="F35" s="1" t="n"/>
      <c r="G35" s="1" t="n"/>
      <c r="H35" s="1" t="n"/>
    </row>
    <row r="36" ht="15" customHeight="1" s="83">
      <c r="A36" s="84" t="inlineStr">
        <is>
          <t>Annual_Doses</t>
        </is>
      </c>
      <c r="B36" s="35">
        <f>26</f>
        <v/>
      </c>
      <c r="C36" s="1" t="n"/>
      <c r="D36" s="1" t="n"/>
      <c r="E36" s="1" t="n"/>
      <c r="F36" s="1" t="n"/>
      <c r="G36" s="1" t="n"/>
      <c r="H36" s="1" t="n"/>
    </row>
    <row r="37" ht="15" customHeight="1" s="83">
      <c r="A37" s="84" t="inlineStr">
        <is>
          <t>Calculated_Annual_Doses</t>
        </is>
      </c>
      <c r="B37" s="35">
        <f>52/Assumptions!$B$7</f>
        <v/>
      </c>
      <c r="C37" s="1" t="n"/>
      <c r="D37" s="1" t="n"/>
      <c r="E37" s="1" t="n"/>
      <c r="F37" s="1" t="n"/>
      <c r="G37" s="1" t="n"/>
      <c r="H37" s="1" t="n"/>
    </row>
    <row r="38" ht="15" customHeight="1" s="83">
      <c r="A38" s="82" t="inlineStr">
        <is>
          <t>Pre_ASP_Doses</t>
        </is>
      </c>
      <c r="B38" s="89">
        <f>13</f>
        <v/>
      </c>
      <c r="C38" s="1" t="n"/>
      <c r="D38" s="1" t="n"/>
      <c r="E38" s="1" t="n"/>
      <c r="F38" s="1" t="n"/>
      <c r="G38" s="1" t="n"/>
      <c r="H38" s="1" t="n"/>
    </row>
    <row r="39" ht="34" customHeight="1" s="83">
      <c r="A39" s="82" t="inlineStr">
        <is>
          <t>Selected_340B_Acquisition</t>
        </is>
      </c>
      <c r="B39" s="89">
        <f>IF(B13="Primary 23.1%",Assumptions!$B$23,IF(B13="Pediatric 17.1%",Assumptions!$B$25,B33))</f>
        <v/>
      </c>
      <c r="C39" s="1" t="n"/>
      <c r="D39" s="1" t="n"/>
      <c r="E39" s="1" t="n"/>
      <c r="F39" s="1" t="n"/>
      <c r="G39" s="1" t="n"/>
      <c r="H39" s="1" t="n"/>
    </row>
    <row r="40" ht="34" customHeight="1" s="83">
      <c r="A40" s="82" t="inlineStr">
        <is>
          <t>Selected_Allowed_Drug_Reimbursement</t>
        </is>
      </c>
      <c r="B40" s="89">
        <f>IF(B12="WAC %",B20*B19,IF(B12="AWP %",B21*B19,IF(B12="ASP %",B22*B19,IF(B12="Contracted rate",B23,IF(B12="Manual entry",B24,0)))))</f>
        <v/>
      </c>
      <c r="C40" s="1" t="n"/>
      <c r="D40" s="1" t="n"/>
      <c r="E40" s="1" t="n"/>
      <c r="F40" s="1" t="n"/>
      <c r="G40" s="1" t="n"/>
      <c r="H40" s="1" t="n"/>
    </row>
    <row r="41" ht="34" customHeight="1" s="83">
      <c r="A41" s="82" t="inlineStr">
        <is>
          <t>Drug_Acquisition_Per_Dose</t>
        </is>
      </c>
      <c r="B41" s="89">
        <f>IF(B10="White-bagging",0,IF(B10="Mixed",(1-B15)*IF(B6="Yes",B39,B20),IF(B6="Yes",B39,B20)))</f>
        <v/>
      </c>
      <c r="C41" s="1" t="n"/>
      <c r="D41" s="1" t="n"/>
      <c r="E41" s="1" t="n"/>
      <c r="F41" s="1" t="n"/>
      <c r="G41" s="1" t="n"/>
      <c r="H41" s="1" t="n"/>
    </row>
    <row r="42" ht="15" customHeight="1" s="83">
      <c r="A42" s="82" t="inlineStr">
        <is>
          <t>Allowed_Drug_Reimbursement_Per_Dose</t>
        </is>
      </c>
      <c r="B42" s="89">
        <f>IF(B10="White-bagging",0,IF(B10="Mixed",(1-B15)*B40,B40))</f>
        <v/>
      </c>
      <c r="C42" s="1" t="n"/>
      <c r="D42" s="1" t="n"/>
      <c r="E42" s="1" t="n"/>
      <c r="F42" s="1" t="n"/>
      <c r="G42" s="1" t="n"/>
      <c r="H42" s="1" t="n"/>
    </row>
    <row r="43" ht="15" customHeight="1" s="83">
      <c r="A43" s="82" t="inlineStr">
        <is>
          <t>Drug_Spread</t>
        </is>
      </c>
      <c r="B43" s="89">
        <f>B42-B41</f>
        <v/>
      </c>
      <c r="C43" s="1" t="n"/>
      <c r="D43" s="1" t="n"/>
      <c r="E43" s="1" t="n"/>
      <c r="F43" s="1" t="n"/>
      <c r="G43" s="1" t="n"/>
      <c r="H43" s="1" t="n"/>
    </row>
    <row r="44" ht="15" customHeight="1" s="83">
      <c r="A44" s="82" t="inlineStr">
        <is>
          <t>Non_Drug_Operating_Cost</t>
        </is>
      </c>
      <c r="B44" s="89">
        <f>B25+B26+B27+B28+B29</f>
        <v/>
      </c>
      <c r="C44" s="1" t="n"/>
      <c r="D44" s="1" t="n"/>
      <c r="E44" s="1" t="n"/>
      <c r="F44" s="1" t="n"/>
      <c r="G44" s="1" t="n"/>
      <c r="H44" s="1" t="n"/>
    </row>
    <row r="45" ht="15" customHeight="1" s="83">
      <c r="A45" s="82" t="inlineStr">
        <is>
          <t>Denial_Drag_Per_Dose</t>
        </is>
      </c>
      <c r="B45" s="89">
        <f>B16*(1-B17)*(B41+B44)</f>
        <v/>
      </c>
      <c r="C45" s="1" t="n"/>
      <c r="D45" s="1" t="n"/>
      <c r="E45" s="1" t="n"/>
      <c r="F45" s="1" t="n"/>
      <c r="G45" s="1" t="n"/>
      <c r="H45" s="1" t="n"/>
    </row>
    <row r="46" ht="15" customHeight="1" s="83">
      <c r="A46" s="82" t="inlineStr">
        <is>
          <t>Financing_Drag_Per_Dose</t>
        </is>
      </c>
      <c r="B46" s="89">
        <f>B41*B30*B18/365</f>
        <v/>
      </c>
      <c r="C46" s="1" t="n"/>
      <c r="D46" s="1" t="n"/>
      <c r="E46" s="1" t="n"/>
      <c r="F46" s="1" t="n"/>
      <c r="G46" s="1" t="n"/>
      <c r="H46" s="1" t="n"/>
    </row>
    <row r="47" ht="15" customHeight="1" s="83">
      <c r="A47" s="82" t="inlineStr">
        <is>
          <t>Net_Operating_Margin_Per_Dose</t>
        </is>
      </c>
      <c r="B47" s="89">
        <f>B42+B31+B32-B41-B44-B45-B46</f>
        <v/>
      </c>
      <c r="C47" s="1" t="n"/>
      <c r="D47" s="1" t="n"/>
      <c r="E47" s="1" t="n"/>
      <c r="F47" s="1" t="n"/>
      <c r="G47" s="1" t="n"/>
      <c r="H47" s="1" t="n"/>
    </row>
    <row r="48" ht="15" customHeight="1" s="83">
      <c r="A48" s="84" t="inlineStr">
        <is>
          <t>Annual_Contribution</t>
        </is>
      </c>
      <c r="B48" s="89">
        <f>B47*B36</f>
        <v/>
      </c>
      <c r="C48" s="1" t="n"/>
      <c r="D48" s="1" t="n"/>
      <c r="E48" s="1" t="n"/>
      <c r="F48" s="1" t="n"/>
      <c r="G48" s="1" t="n"/>
      <c r="H48" s="1" t="n"/>
    </row>
    <row r="49" ht="15" customHeight="1" s="83">
      <c r="A49" s="82" t="inlineStr">
        <is>
          <t>Administrations_Outstanding</t>
        </is>
      </c>
      <c r="B49" s="33">
        <f>ROUNDUP(B18/14,0)</f>
        <v/>
      </c>
      <c r="C49" s="1" t="n"/>
      <c r="D49" s="1" t="n"/>
      <c r="E49" s="1" t="n"/>
      <c r="F49" s="1" t="n"/>
      <c r="G49" s="1" t="n"/>
      <c r="H49" s="1" t="n"/>
    </row>
    <row r="50" ht="15" customHeight="1" s="83">
      <c r="A50" s="84" t="inlineStr">
        <is>
          <t>Cash_At_Risk</t>
        </is>
      </c>
      <c r="B50" s="89">
        <f>B41*B49</f>
        <v/>
      </c>
      <c r="C50" s="1" t="n"/>
      <c r="D50" s="1" t="n"/>
      <c r="E50" s="1" t="n"/>
      <c r="F50" s="1" t="n"/>
      <c r="G50" s="1" t="n"/>
      <c r="H50" s="1" t="n"/>
    </row>
    <row r="51" ht="15" customHeight="1" s="83">
      <c r="A51" s="82" t="inlineStr">
        <is>
          <t>Break_Even_Support_Per_Dose</t>
        </is>
      </c>
      <c r="B51" s="89">
        <f>MAX(0,-B47)</f>
        <v/>
      </c>
      <c r="C51" s="1" t="n"/>
      <c r="D51" s="1" t="n"/>
      <c r="E51" s="1" t="n"/>
      <c r="F51" s="1" t="n"/>
      <c r="G51" s="1" t="n"/>
      <c r="H51" s="1" t="n"/>
    </row>
    <row r="52" ht="15" customHeight="1" s="83">
      <c r="A52" s="84" t="inlineStr">
        <is>
          <t>Annual_Break_Even_Support</t>
        </is>
      </c>
      <c r="B52" s="89">
        <f>B51*B36</f>
        <v/>
      </c>
      <c r="C52" s="1" t="n"/>
      <c r="D52" s="1" t="n"/>
      <c r="E52" s="1" t="n"/>
      <c r="F52" s="1" t="n"/>
      <c r="G52" s="1" t="n"/>
      <c r="H52" s="1" t="n"/>
    </row>
    <row r="53" ht="15" customHeight="1" s="83">
      <c r="A53" s="82" t="inlineStr">
        <is>
          <t>Pre_ASP_WAC_Exposure</t>
        </is>
      </c>
      <c r="B53" s="89">
        <f>B20*B38</f>
        <v/>
      </c>
      <c r="C53" s="1" t="n"/>
      <c r="D53" s="1" t="n"/>
      <c r="E53" s="1" t="n"/>
      <c r="F53" s="1" t="n"/>
      <c r="G53" s="1" t="n"/>
      <c r="H53" s="1" t="n"/>
    </row>
    <row r="54" ht="15" customHeight="1" s="83">
      <c r="A54" s="82" t="inlineStr">
        <is>
          <t>Pre_ASP_Reimbursement</t>
        </is>
      </c>
      <c r="B54" s="89">
        <f>B42*B38</f>
        <v/>
      </c>
      <c r="C54" s="1" t="n"/>
      <c r="D54" s="1" t="n"/>
      <c r="E54" s="1" t="n"/>
      <c r="F54" s="1" t="n"/>
      <c r="G54" s="1" t="n"/>
      <c r="H54" s="1" t="n"/>
    </row>
    <row r="55" ht="15" customHeight="1" s="83">
      <c r="A55" s="82" t="inlineStr">
        <is>
          <t>Pre_ASP_Gross_Spread</t>
        </is>
      </c>
      <c r="B55" s="89">
        <f>B54-B53</f>
        <v/>
      </c>
      <c r="C55" s="1" t="n"/>
      <c r="D55" s="1" t="n"/>
      <c r="E55" s="1" t="n"/>
      <c r="F55" s="1" t="n"/>
      <c r="G55" s="1" t="n"/>
      <c r="H55" s="1" t="n"/>
    </row>
    <row r="56" ht="15" customHeight="1" s="83">
      <c r="A56" s="82" t="inlineStr">
        <is>
          <t>340B_Acquisition_Advantage_Per_Dose</t>
        </is>
      </c>
      <c r="B56" s="89">
        <f>IF(B6="Yes",B20-B39,0)</f>
        <v/>
      </c>
      <c r="C56" s="1" t="n"/>
      <c r="D56" s="1" t="n"/>
      <c r="E56" s="1" t="n"/>
      <c r="F56" s="1" t="n"/>
      <c r="G56" s="1" t="n"/>
      <c r="H56" s="1" t="n"/>
    </row>
    <row r="57" ht="15" customHeight="1" s="83">
      <c r="A57" s="84" t="inlineStr">
        <is>
          <t>Annual_340B_Acquisition_Advantage</t>
        </is>
      </c>
      <c r="B57" s="89">
        <f>B56*B36</f>
        <v/>
      </c>
      <c r="C57" s="1" t="n"/>
      <c r="D57" s="1" t="n"/>
      <c r="E57" s="1" t="n"/>
      <c r="F57" s="1" t="n"/>
      <c r="G57" s="1" t="n"/>
      <c r="H57" s="1" t="n"/>
    </row>
    <row r="58" ht="15" customHeight="1" s="83">
      <c r="A58" s="82" t="inlineStr">
        <is>
          <t>Pre_ASP_340B_Acquisition_Advantage</t>
        </is>
      </c>
      <c r="B58" s="89">
        <f>B56*B38</f>
        <v/>
      </c>
      <c r="C58" s="1" t="n"/>
      <c r="D58" s="1" t="n"/>
      <c r="E58" s="1" t="n"/>
      <c r="F58" s="1" t="n"/>
      <c r="G58" s="1" t="n"/>
      <c r="H58" s="1" t="n"/>
    </row>
    <row r="59" ht="15" customHeight="1" s="83">
      <c r="A59" s="84" t="inlineStr">
        <is>
          <t>Annual_Drug_Acquisition</t>
        </is>
      </c>
      <c r="B59" s="89">
        <f>B41*B36</f>
        <v/>
      </c>
      <c r="C59" s="1" t="n"/>
      <c r="D59" s="1" t="n"/>
      <c r="E59" s="1" t="n"/>
      <c r="F59" s="1" t="n"/>
      <c r="G59" s="1" t="n"/>
      <c r="H59" s="1" t="n"/>
    </row>
    <row r="60" ht="15" customHeight="1" s="83">
      <c r="A60" s="84" t="inlineStr">
        <is>
          <t>Annual_Allowed_Drug_Reimbursement</t>
        </is>
      </c>
      <c r="B60" s="89">
        <f>B42*B36</f>
        <v/>
      </c>
      <c r="C60" s="1" t="n"/>
      <c r="D60" s="1" t="n"/>
      <c r="E60" s="1" t="n"/>
      <c r="F60" s="1" t="n"/>
      <c r="G60" s="1" t="n"/>
      <c r="H60" s="1" t="n"/>
    </row>
    <row r="61" ht="15" customHeight="1" s="83">
      <c r="A61" s="84" t="inlineStr">
        <is>
          <t>Annual_Non_Drug_Operating_Cost</t>
        </is>
      </c>
      <c r="B61" s="89">
        <f>B44*B36</f>
        <v/>
      </c>
      <c r="C61" s="1" t="n"/>
      <c r="D61" s="1" t="n"/>
      <c r="E61" s="1" t="n"/>
      <c r="F61" s="1" t="n"/>
      <c r="G61" s="1" t="n"/>
      <c r="H61" s="1" t="n"/>
    </row>
    <row r="62" ht="34" customHeight="1" s="83">
      <c r="A62" s="84" t="inlineStr">
        <is>
          <t>Margin_Risk</t>
        </is>
      </c>
      <c r="B62" s="31">
        <f>IF(B47&lt;0,"High margin risk",IF(B47&lt;1000,"Moderate margin risk","Low margin risk"))</f>
        <v/>
      </c>
      <c r="C62" s="1" t="n"/>
      <c r="D62" s="1" t="n"/>
      <c r="E62" s="1" t="n"/>
      <c r="F62" s="1" t="n"/>
      <c r="G62" s="1" t="n"/>
      <c r="H62" s="1" t="n"/>
    </row>
    <row r="63" ht="34" customHeight="1" s="83">
      <c r="A63" s="84" t="inlineStr">
        <is>
          <t>Cash_Exposure_Risk</t>
        </is>
      </c>
      <c r="B63" s="31">
        <f>IF(B50&gt;250000,"High cash exposure",IF(B50&gt;100000,"Moderate cash exposure","Manageable cash exposure"))</f>
        <v/>
      </c>
      <c r="C63" s="1" t="n"/>
      <c r="D63" s="1" t="n"/>
      <c r="E63" s="1" t="n"/>
      <c r="F63" s="1" t="n"/>
      <c r="G63" s="1" t="n"/>
      <c r="H63" s="1" t="n"/>
    </row>
    <row r="64" ht="34" customHeight="1" s="83">
      <c r="A64" s="84" t="inlineStr">
        <is>
          <t>Operational_Risk</t>
        </is>
      </c>
      <c r="B64" s="31">
        <f>IF(OR(B14="Not confirmed",B8="Pre-code / NOC",B10="Mixed"),"High operational risk",IF(OR(B16&gt;10%,B18&gt;90),"Moderate operational risk","Lower operational risk"))</f>
        <v/>
      </c>
      <c r="C64" s="1" t="n"/>
      <c r="D64" s="1" t="n"/>
      <c r="E64" s="1" t="n"/>
      <c r="F64" s="1" t="n"/>
      <c r="G64" s="1" t="n"/>
      <c r="H64" s="1" t="n"/>
    </row>
  </sheetData>
  <mergeCells count="1">
    <mergeCell ref="A1:H1"/>
  </mergeCells>
  <pageMargins left="0.6" right="0.6" top="0.7" bottom="0.7" header="0.2" footer="0.2"/>
  <pageSetup orientation="portrait"/>
</worksheet>
</file>

<file path=xl/worksheets/sheet5.xml><?xml version="1.0" encoding="utf-8"?>
<worksheet xmlns="http://schemas.openxmlformats.org/spreadsheetml/2006/main">
  <sheetPr>
    <outlinePr summaryBelow="1" summaryRight="1"/>
    <pageSetUpPr/>
  </sheetPr>
  <dimension ref="A1:H50"/>
  <sheetViews>
    <sheetView showGridLines="0" workbookViewId="0">
      <pane ySplit="5" topLeftCell="A6" activePane="bottomLeft" state="frozen"/>
      <selection pane="bottomLeft" activeCell="A1" sqref="A1"/>
    </sheetView>
  </sheetViews>
  <sheetFormatPr baseColWidth="10" defaultColWidth="8.83203125" defaultRowHeight="14"/>
  <cols>
    <col width="56" customWidth="1" style="83" min="1" max="1"/>
    <col width="24" customWidth="1" style="83" min="2" max="2"/>
    <col width="60" customWidth="1" style="83" min="3" max="3"/>
    <col width="10" customWidth="1" style="83" min="4" max="4"/>
    <col width="26" customWidth="1" style="83" min="5" max="6"/>
    <col width="12" customWidth="1" style="83" min="7" max="8"/>
  </cols>
  <sheetData>
    <row r="1" ht="24" customHeight="1" s="83">
      <c r="A1" s="81" t="inlineStr">
        <is>
          <t>Adrabetadex Provider Net-Cost Recovery Summary</t>
        </is>
      </c>
      <c r="B1" s="77" t="n"/>
      <c r="C1" s="77" t="n"/>
      <c r="D1" s="77" t="n"/>
      <c r="E1" s="77" t="n"/>
      <c r="F1" s="77" t="n"/>
      <c r="G1" s="77" t="n"/>
      <c r="H1" s="78" t="n"/>
    </row>
    <row r="2" ht="16" customHeight="1" s="83">
      <c r="A2" s="80" t="inlineStr">
        <is>
          <t>Client-ready economics readout for selected launch scenario</t>
        </is>
      </c>
      <c r="B2" s="77" t="n"/>
      <c r="C2" s="77" t="n"/>
      <c r="D2" s="77" t="n"/>
      <c r="E2" s="77" t="n"/>
      <c r="F2" s="77" t="n"/>
      <c r="G2" s="77" t="n"/>
      <c r="H2" s="78" t="n"/>
    </row>
    <row r="4" ht="22" customHeight="1" s="83">
      <c r="A4" s="64" t="inlineStr">
        <is>
          <t>Product</t>
        </is>
      </c>
      <c r="B4" s="64" t="inlineStr">
        <is>
          <t>Adrabetadex</t>
        </is>
      </c>
      <c r="D4" s="64" t="inlineStr">
        <is>
          <t>Sourcing model</t>
        </is>
      </c>
      <c r="E4" s="64">
        <f>'Scenario Inputs'!D11</f>
        <v/>
      </c>
    </row>
    <row r="5" ht="20" customHeight="1" s="83">
      <c r="A5" s="64" t="inlineStr">
        <is>
          <t>Scenario</t>
        </is>
      </c>
      <c r="B5" s="64">
        <f>'Scenario Inputs'!B2</f>
        <v/>
      </c>
      <c r="D5" s="64" t="inlineStr">
        <is>
          <t>Pass-through status</t>
        </is>
      </c>
      <c r="E5" s="64">
        <f>'Scenario Inputs'!D10</f>
        <v/>
      </c>
    </row>
    <row r="6" ht="20" customHeight="1" s="83">
      <c r="A6" s="64" t="inlineStr">
        <is>
          <t>Date generated</t>
        </is>
      </c>
      <c r="B6" s="64">
        <f>TODAY()</f>
        <v/>
      </c>
      <c r="D6" s="64" t="inlineStr">
        <is>
          <t>Reimbursement basis</t>
        </is>
      </c>
      <c r="E6" s="64">
        <f>'Scenario Inputs'!D13</f>
        <v/>
      </c>
    </row>
    <row r="7" ht="20" customHeight="1" s="83">
      <c r="A7" s="64" t="inlineStr">
        <is>
          <t>Site type</t>
        </is>
      </c>
      <c r="B7" s="64">
        <f>'Scenario Inputs'!D5</f>
        <v/>
      </c>
      <c r="D7" s="64" t="inlineStr">
        <is>
          <t>340B acquisition assumption</t>
        </is>
      </c>
      <c r="E7" s="64">
        <f>'Scenario Inputs'!D14</f>
        <v/>
      </c>
    </row>
    <row r="8" ht="20" customHeight="1" s="83">
      <c r="A8" s="64" t="inlineStr">
        <is>
          <t>Payer type</t>
        </is>
      </c>
      <c r="B8" s="64">
        <f>'Scenario Inputs'!D6</f>
        <v/>
      </c>
    </row>
    <row r="9" ht="20" customHeight="1" s="83">
      <c r="A9" s="64" t="inlineStr">
        <is>
          <t>340B status</t>
        </is>
      </c>
      <c r="B9" s="64">
        <f>'Scenario Inputs'!D7</f>
        <v/>
      </c>
    </row>
    <row r="10" ht="20" customHeight="1" s="83">
      <c r="A10" s="64" t="inlineStr">
        <is>
          <t>Coding status</t>
        </is>
      </c>
      <c r="B10" s="64">
        <f>'Scenario Inputs'!D9</f>
        <v/>
      </c>
    </row>
    <row r="12" ht="20" customHeight="1" s="83">
      <c r="A12" s="76" t="inlineStr">
        <is>
          <t>Per-dose economics</t>
        </is>
      </c>
      <c r="B12" s="77" t="n"/>
      <c r="C12" s="77" t="n"/>
      <c r="D12" s="77" t="n"/>
      <c r="E12" s="77" t="n"/>
      <c r="F12" s="77" t="n"/>
      <c r="G12" s="77" t="n"/>
      <c r="H12" s="78" t="n"/>
    </row>
    <row r="13" ht="15" customHeight="1" s="83">
      <c r="A13" s="65" t="inlineStr">
        <is>
          <t>Drug acquisition per dose</t>
        </is>
      </c>
      <c r="B13" s="90">
        <f>Calculator!B41</f>
        <v/>
      </c>
    </row>
    <row r="14" ht="15" customHeight="1" s="83">
      <c r="A14" s="65" t="inlineStr">
        <is>
          <t>Allowed drug reimbursement per dose</t>
        </is>
      </c>
      <c r="B14" s="90">
        <f>Calculator!B42</f>
        <v/>
      </c>
    </row>
    <row r="15" ht="15" customHeight="1" s="83">
      <c r="A15" s="65" t="inlineStr">
        <is>
          <t>Drug spread per dose</t>
        </is>
      </c>
      <c r="B15" s="90">
        <f>Calculator!B43</f>
        <v/>
      </c>
    </row>
    <row r="16" ht="15" customHeight="1" s="83">
      <c r="A16" s="65" t="inlineStr">
        <is>
          <t>Procedure revenue per dose</t>
        </is>
      </c>
      <c r="B16" s="90">
        <f>Calculator!B31</f>
        <v/>
      </c>
    </row>
    <row r="17" ht="15" customHeight="1" s="83">
      <c r="A17" s="65" t="inlineStr">
        <is>
          <t>Non-drug operating cost per dose</t>
        </is>
      </c>
      <c r="B17" s="90">
        <f>Calculator!B44</f>
        <v/>
      </c>
    </row>
    <row r="18" ht="15" customHeight="1" s="83">
      <c r="A18" s="65" t="inlineStr">
        <is>
          <t>Denial drag per dose</t>
        </is>
      </c>
      <c r="B18" s="90">
        <f>Calculator!B45</f>
        <v/>
      </c>
    </row>
    <row r="19" ht="15" customHeight="1" s="83">
      <c r="A19" s="65" t="inlineStr">
        <is>
          <t>Financing drag per dose</t>
        </is>
      </c>
      <c r="B19" s="90">
        <f>Calculator!B46</f>
        <v/>
      </c>
    </row>
    <row r="20" ht="16" customHeight="1" s="83">
      <c r="A20" s="65" t="inlineStr">
        <is>
          <t>Net operating margin per dose</t>
        </is>
      </c>
      <c r="B20" s="91">
        <f>Calculator!B47</f>
        <v/>
      </c>
    </row>
    <row r="21" ht="15" customHeight="1" s="83">
      <c r="A21" s="65" t="inlineStr">
        <is>
          <t>Break-even support per dose</t>
        </is>
      </c>
      <c r="B21" s="90">
        <f>Calculator!B51</f>
        <v/>
      </c>
    </row>
    <row r="22" ht="20" customHeight="1" s="83">
      <c r="A22" s="76" t="inlineStr">
        <is>
          <t>Annual economics</t>
        </is>
      </c>
      <c r="B22" s="77" t="n"/>
      <c r="C22" s="77" t="n"/>
      <c r="D22" s="77" t="n"/>
      <c r="E22" s="77" t="n"/>
      <c r="F22" s="77" t="n"/>
      <c r="G22" s="77" t="n"/>
      <c r="H22" s="78" t="n"/>
    </row>
    <row r="24" ht="15" customHeight="1" s="83">
      <c r="A24" s="68" t="inlineStr">
        <is>
          <t>Annual administrations</t>
        </is>
      </c>
      <c r="B24" s="69">
        <f>Calculator!B36</f>
        <v/>
      </c>
    </row>
    <row r="25" ht="15" customHeight="1" s="83">
      <c r="A25" s="68" t="inlineStr">
        <is>
          <t>Annual drug acquisition</t>
        </is>
      </c>
      <c r="B25" s="70">
        <f>Calculator!B59</f>
        <v/>
      </c>
    </row>
    <row r="26" ht="15" customHeight="1" s="83">
      <c r="A26" s="68" t="inlineStr">
        <is>
          <t>Annual allowed drug reimbursement</t>
        </is>
      </c>
      <c r="B26" s="70">
        <f>Calculator!B60</f>
        <v/>
      </c>
    </row>
    <row r="27" ht="15" customHeight="1" s="83">
      <c r="A27" s="68" t="inlineStr">
        <is>
          <t>Annual non-drug operating cost</t>
        </is>
      </c>
      <c r="B27" s="70">
        <f>Calculator!B61</f>
        <v/>
      </c>
    </row>
    <row r="28" ht="15" customHeight="1" s="83">
      <c r="A28" s="68" t="inlineStr">
        <is>
          <t>Annual net operating margin</t>
        </is>
      </c>
      <c r="B28" s="71">
        <f>Calculator!B48</f>
        <v/>
      </c>
    </row>
    <row r="29" ht="15" customHeight="1" s="83">
      <c r="A29" s="68" t="inlineStr">
        <is>
          <t>Annual break-even support</t>
        </is>
      </c>
      <c r="B29" s="70">
        <f>Calculator!B52</f>
        <v/>
      </c>
    </row>
    <row r="30" ht="15" customHeight="1" s="83">
      <c r="A30" s="68" t="inlineStr">
        <is>
          <t>Cash exposure</t>
        </is>
      </c>
      <c r="B30" s="71">
        <f>Calculator!B50</f>
        <v/>
      </c>
    </row>
    <row r="31" ht="15" customHeight="1" s="83">
      <c r="A31" s="68" t="inlineStr">
        <is>
          <t>Annual 340B acquisition advantage</t>
        </is>
      </c>
      <c r="B31" s="71">
        <f>Calculator!B57</f>
        <v/>
      </c>
    </row>
    <row r="33" ht="20" customHeight="1" s="83">
      <c r="A33" s="76" t="inlineStr">
        <is>
          <t>Margin, cash, and operational risk</t>
        </is>
      </c>
      <c r="B33" s="77" t="n"/>
      <c r="C33" s="77" t="n"/>
      <c r="D33" s="77" t="n"/>
      <c r="E33" s="77" t="n"/>
      <c r="F33" s="77" t="n"/>
      <c r="G33" s="77" t="n"/>
      <c r="H33" s="78" t="n"/>
    </row>
    <row r="34" ht="24" customHeight="1" s="83">
      <c r="A34" s="64" t="inlineStr">
        <is>
          <t>Margin risk</t>
        </is>
      </c>
      <c r="B34" s="72">
        <f>Calculator!B62</f>
        <v/>
      </c>
      <c r="C34" s="73">
        <f>IF(B34="High margin risk","Per-dose margin is negative.",IF(B34="Moderate margin risk","Per-dose margin is positive but narrow.","Per-dose margin has stronger cushion under modeled assumptions."))</f>
        <v/>
      </c>
    </row>
    <row r="35" ht="24" customHeight="1" s="83">
      <c r="A35" s="64" t="inlineStr">
        <is>
          <t>Cash exposure risk</t>
        </is>
      </c>
      <c r="B35" s="74">
        <f>Calculator!B63</f>
        <v/>
      </c>
      <c r="C35" s="73">
        <f>IF(B35="High cash exposure","Payment timing and acquisition pacing create elevated float risk.",IF(B35="Moderate cash exposure","Monitor outstanding administrations and remittance timing.","Current structure suggests manageable payment float."))</f>
        <v/>
      </c>
    </row>
    <row r="36" ht="24" customHeight="1" s="83">
      <c r="A36" s="64" t="inlineStr">
        <is>
          <t>Operational risk</t>
        </is>
      </c>
      <c r="B36" s="75">
        <f>Calculator!B64</f>
        <v/>
      </c>
      <c r="C36" s="73">
        <f>IF(B36="High operational risk","Claim flow is sensitive to PA, NDC, and documentation controls.",IF(B36="Moderate operational risk","Strengthen billing workflow and pre-bill controls.","Operational control posture is stable."))</f>
        <v/>
      </c>
    </row>
    <row r="38" ht="20" customHeight="1" s="83">
      <c r="A38" s="76" t="inlineStr">
        <is>
          <t>Where the value is</t>
        </is>
      </c>
      <c r="B38" s="77" t="n"/>
      <c r="C38" s="77" t="n"/>
      <c r="D38" s="77" t="n"/>
      <c r="E38" s="77" t="n"/>
      <c r="F38" s="77" t="n"/>
      <c r="G38" s="77" t="n"/>
      <c r="H38" s="78" t="n"/>
    </row>
    <row r="39" ht="24" customHeight="1" s="83">
      <c r="A39" s="65">
        <f>IF('Scenario Inputs'!D7="Yes","340B acquisition lowers per-dose acquisition cost materially versus WAC.","This is presented as a sensitivity case without the 340B advantage.")</f>
        <v/>
      </c>
    </row>
    <row r="40" ht="24" customHeight="1" s="83">
      <c r="A40" s="65">
        <f>IF(AND('Scenario Inputs'!D10="Active",'Scenario Inputs'!D7="Yes"),"Pass-through timing improves launch-bridge payment visibility and shortens initial uncertainty.","Pass-through support is partial, so payment visibility is constrained without operational controls.")</f>
        <v/>
      </c>
    </row>
    <row r="41" ht="24" customHeight="1" s="83">
      <c r="A41" s="65">
        <f>IF('Scenario Inputs'!D11="White-bagging","White-bagging can reduce inventory exposure but also removes provider drug spread.","Clean PA, NDC, billing, wastage, and 340B documentation remain critical to realizing any margin.")</f>
        <v/>
      </c>
    </row>
    <row r="43" ht="20" customHeight="1" s="83">
      <c r="A43" s="76" t="inlineStr">
        <is>
          <t>Scenario interpretation</t>
        </is>
      </c>
      <c r="B43" s="77" t="n"/>
      <c r="C43" s="77" t="n"/>
      <c r="D43" s="77" t="n"/>
      <c r="E43" s="77" t="n"/>
      <c r="F43" s="77" t="n"/>
      <c r="G43" s="77" t="n"/>
      <c r="H43" s="78" t="n"/>
    </row>
    <row r="44" ht="24" customHeight="1" s="83">
      <c r="A44" s="65">
        <f>IF('Scenario Inputs'!D7="Yes","Primary value is strongest in the 340B center-of-excellence / HOPD launch path; non-340B cases should remain clearly secondary sensitivity views.","This path is structurally support-dependent. Keep this scenario clearly as sensitivity unless 340B controls are verified.")</f>
        <v/>
      </c>
    </row>
    <row r="45" ht="24" customHeight="1" s="83">
      <c r="A45" s="65">
        <f>IF('Scenario Inputs'!D9="Pre-code / NOC","Permanent HCPCS improves coding clarity over time, but economics remain execution-sensitive during the launch bridge.","Permanent HCPCS timing is still important for long-horizon clarity, but it does not replace launch bridge controls.")</f>
        <v/>
      </c>
    </row>
    <row r="46" ht="24" customHeight="1" s="83">
      <c r="A46" s="65">
        <f>IF('Scenario Inputs'!D10="Active","Keep operational requirements explicit: PA status, NDC reporting, invoice support, and claims edits quality.","Confirm payer-side workflow dependencies before expanding volume assumptions.")</f>
        <v/>
      </c>
    </row>
    <row r="50" ht="24" customHeight="1" s="83">
      <c r="A50" s="79" t="inlineStr">
        <is>
          <t>Estimates are for planning purposes only and do not guarantee coverage, coding, payment, or reimbursement. Providers should validate payer-specific rules, payer edits, and operational controls before claim submission.</t>
        </is>
      </c>
      <c r="B50" s="77" t="n"/>
      <c r="C50" s="77" t="n"/>
      <c r="D50" s="77" t="n"/>
      <c r="E50" s="77" t="n"/>
      <c r="F50" s="77" t="n"/>
      <c r="G50" s="77" t="n"/>
      <c r="H50" s="78" t="n"/>
    </row>
  </sheetData>
  <mergeCells count="8">
    <mergeCell ref="A12:H12"/>
    <mergeCell ref="A50:H50"/>
    <mergeCell ref="A43:H43"/>
    <mergeCell ref="A38:H38"/>
    <mergeCell ref="A2:H2"/>
    <mergeCell ref="A33:H33"/>
    <mergeCell ref="A1:H1"/>
    <mergeCell ref="A22:H22"/>
  </mergeCells>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sheetPr>
  <dimension ref="A1:H50"/>
  <sheetViews>
    <sheetView showGridLines="0" workbookViewId="0">
      <pane ySplit="5" topLeftCell="A6" activePane="bottomLeft" state="frozen"/>
      <selection pane="bottomLeft" activeCell="A1" sqref="A1"/>
    </sheetView>
  </sheetViews>
  <sheetFormatPr baseColWidth="10" defaultColWidth="8.83203125" defaultRowHeight="14"/>
  <cols>
    <col width="56" customWidth="1" style="83" min="1" max="1"/>
    <col width="24" customWidth="1" style="83" min="2" max="2"/>
    <col width="60" customWidth="1" style="83" min="3" max="3"/>
    <col width="10" customWidth="1" style="83" min="4" max="4"/>
    <col width="26" customWidth="1" style="83" min="5" max="6"/>
    <col width="12" customWidth="1" style="83" min="7" max="8"/>
  </cols>
  <sheetData>
    <row r="1" ht="24" customHeight="1" s="83">
      <c r="A1" s="81" t="inlineStr">
        <is>
          <t>Adrabetadex Provider Net-Cost Recovery Summary</t>
        </is>
      </c>
      <c r="B1" s="77" t="n"/>
      <c r="C1" s="77" t="n"/>
      <c r="D1" s="77" t="n"/>
      <c r="E1" s="77" t="n"/>
      <c r="F1" s="77" t="n"/>
      <c r="G1" s="77" t="n"/>
      <c r="H1" s="78" t="n"/>
    </row>
    <row r="2" ht="16" customHeight="1" s="83">
      <c r="A2" s="80" t="inlineStr">
        <is>
          <t>Client-ready economics readout for selected launch scenario</t>
        </is>
      </c>
      <c r="B2" s="77" t="n"/>
      <c r="C2" s="77" t="n"/>
      <c r="D2" s="77" t="n"/>
      <c r="E2" s="77" t="n"/>
      <c r="F2" s="77" t="n"/>
      <c r="G2" s="77" t="n"/>
      <c r="H2" s="78" t="n"/>
    </row>
    <row r="4" ht="22" customHeight="1" s="83">
      <c r="A4" s="64" t="inlineStr">
        <is>
          <t>Product</t>
        </is>
      </c>
      <c r="B4" s="64" t="inlineStr">
        <is>
          <t>Adrabetadex</t>
        </is>
      </c>
      <c r="D4" s="64" t="inlineStr">
        <is>
          <t>Sourcing model</t>
        </is>
      </c>
      <c r="E4" s="64">
        <f>'Scenario Inputs'!D11</f>
        <v/>
      </c>
    </row>
    <row r="5" ht="20" customHeight="1" s="83">
      <c r="A5" s="64" t="inlineStr">
        <is>
          <t>Scenario</t>
        </is>
      </c>
      <c r="B5" s="64">
        <f>'Scenario Inputs'!B2</f>
        <v/>
      </c>
      <c r="D5" s="64" t="inlineStr">
        <is>
          <t>Pass-through status</t>
        </is>
      </c>
      <c r="E5" s="64">
        <f>'Scenario Inputs'!D10</f>
        <v/>
      </c>
    </row>
    <row r="6" ht="20" customHeight="1" s="83">
      <c r="A6" s="64" t="inlineStr">
        <is>
          <t>Date generated</t>
        </is>
      </c>
      <c r="B6" s="64">
        <f>TODAY()</f>
        <v/>
      </c>
      <c r="D6" s="64" t="inlineStr">
        <is>
          <t>Reimbursement basis</t>
        </is>
      </c>
      <c r="E6" s="64">
        <f>'Scenario Inputs'!D13</f>
        <v/>
      </c>
    </row>
    <row r="7" ht="20" customHeight="1" s="83">
      <c r="A7" s="64" t="inlineStr">
        <is>
          <t>Site type</t>
        </is>
      </c>
      <c r="B7" s="64">
        <f>'Scenario Inputs'!D5</f>
        <v/>
      </c>
      <c r="D7" s="64" t="inlineStr">
        <is>
          <t>340B acquisition assumption</t>
        </is>
      </c>
      <c r="E7" s="64">
        <f>'Scenario Inputs'!D14</f>
        <v/>
      </c>
    </row>
    <row r="8" ht="20" customHeight="1" s="83">
      <c r="A8" s="64" t="inlineStr">
        <is>
          <t>Payer type</t>
        </is>
      </c>
      <c r="B8" s="64">
        <f>'Scenario Inputs'!D6</f>
        <v/>
      </c>
    </row>
    <row r="9" ht="20" customHeight="1" s="83">
      <c r="A9" s="64" t="inlineStr">
        <is>
          <t>340B status</t>
        </is>
      </c>
      <c r="B9" s="64">
        <f>'Scenario Inputs'!D7</f>
        <v/>
      </c>
    </row>
    <row r="10" ht="20" customHeight="1" s="83">
      <c r="A10" s="64" t="inlineStr">
        <is>
          <t>Coding status</t>
        </is>
      </c>
      <c r="B10" s="64">
        <f>'Scenario Inputs'!D9</f>
        <v/>
      </c>
    </row>
    <row r="12" ht="20" customHeight="1" s="83">
      <c r="A12" s="76" t="inlineStr">
        <is>
          <t>Per-dose economics</t>
        </is>
      </c>
      <c r="B12" s="77" t="n"/>
      <c r="C12" s="77" t="n"/>
      <c r="D12" s="77" t="n"/>
      <c r="E12" s="77" t="n"/>
      <c r="F12" s="77" t="n"/>
      <c r="G12" s="77" t="n"/>
      <c r="H12" s="78" t="n"/>
    </row>
    <row r="13" ht="15" customHeight="1" s="83">
      <c r="A13" s="65" t="inlineStr">
        <is>
          <t>Drug acquisition per dose</t>
        </is>
      </c>
      <c r="B13" s="90">
        <f>Calculator!B41</f>
        <v/>
      </c>
    </row>
    <row r="14" ht="15" customHeight="1" s="83">
      <c r="A14" s="65" t="inlineStr">
        <is>
          <t>Allowed drug reimbursement per dose</t>
        </is>
      </c>
      <c r="B14" s="90">
        <f>Calculator!B42</f>
        <v/>
      </c>
    </row>
    <row r="15" ht="15" customHeight="1" s="83">
      <c r="A15" s="65" t="inlineStr">
        <is>
          <t>Drug spread per dose</t>
        </is>
      </c>
      <c r="B15" s="90">
        <f>Calculator!B43</f>
        <v/>
      </c>
    </row>
    <row r="16" ht="15" customHeight="1" s="83">
      <c r="A16" s="65" t="inlineStr">
        <is>
          <t>Procedure revenue per dose</t>
        </is>
      </c>
      <c r="B16" s="90">
        <f>Calculator!B31</f>
        <v/>
      </c>
    </row>
    <row r="17" ht="15" customHeight="1" s="83">
      <c r="A17" s="65" t="inlineStr">
        <is>
          <t>Non-drug operating cost per dose</t>
        </is>
      </c>
      <c r="B17" s="90">
        <f>Calculator!B44</f>
        <v/>
      </c>
    </row>
    <row r="18" ht="15" customHeight="1" s="83">
      <c r="A18" s="65" t="inlineStr">
        <is>
          <t>Denial drag per dose</t>
        </is>
      </c>
      <c r="B18" s="90">
        <f>Calculator!B45</f>
        <v/>
      </c>
    </row>
    <row r="19" ht="15" customHeight="1" s="83">
      <c r="A19" s="65" t="inlineStr">
        <is>
          <t>Financing drag per dose</t>
        </is>
      </c>
      <c r="B19" s="90">
        <f>Calculator!B46</f>
        <v/>
      </c>
    </row>
    <row r="20" ht="16" customHeight="1" s="83">
      <c r="A20" s="65" t="inlineStr">
        <is>
          <t>Net operating margin per dose</t>
        </is>
      </c>
      <c r="B20" s="91">
        <f>Calculator!B47</f>
        <v/>
      </c>
    </row>
    <row r="21" ht="15" customHeight="1" s="83">
      <c r="A21" s="65" t="inlineStr">
        <is>
          <t>Break-even support per dose</t>
        </is>
      </c>
      <c r="B21" s="90">
        <f>Calculator!B51</f>
        <v/>
      </c>
    </row>
    <row r="22" ht="20" customHeight="1" s="83">
      <c r="A22" s="76" t="inlineStr">
        <is>
          <t>Annual economics</t>
        </is>
      </c>
      <c r="B22" s="77" t="n"/>
      <c r="C22" s="77" t="n"/>
      <c r="D22" s="77" t="n"/>
      <c r="E22" s="77" t="n"/>
      <c r="F22" s="77" t="n"/>
      <c r="G22" s="77" t="n"/>
      <c r="H22" s="78" t="n"/>
    </row>
    <row r="24" ht="15" customHeight="1" s="83">
      <c r="A24" s="68" t="inlineStr">
        <is>
          <t>Annual administrations</t>
        </is>
      </c>
      <c r="B24" s="69">
        <f>Calculator!B36</f>
        <v/>
      </c>
    </row>
    <row r="25" ht="15" customHeight="1" s="83">
      <c r="A25" s="68" t="inlineStr">
        <is>
          <t>Annual drug acquisition</t>
        </is>
      </c>
      <c r="B25" s="70">
        <f>Calculator!B59</f>
        <v/>
      </c>
    </row>
    <row r="26" ht="15" customHeight="1" s="83">
      <c r="A26" s="68" t="inlineStr">
        <is>
          <t>Annual allowed drug reimbursement</t>
        </is>
      </c>
      <c r="B26" s="70">
        <f>Calculator!B60</f>
        <v/>
      </c>
    </row>
    <row r="27" ht="15" customHeight="1" s="83">
      <c r="A27" s="68" t="inlineStr">
        <is>
          <t>Annual non-drug operating cost</t>
        </is>
      </c>
      <c r="B27" s="70">
        <f>Calculator!B61</f>
        <v/>
      </c>
    </row>
    <row r="28" ht="15" customHeight="1" s="83">
      <c r="A28" s="68" t="inlineStr">
        <is>
          <t>Annual net operating margin</t>
        </is>
      </c>
      <c r="B28" s="71">
        <f>Calculator!B48</f>
        <v/>
      </c>
    </row>
    <row r="29" ht="15" customHeight="1" s="83">
      <c r="A29" s="68" t="inlineStr">
        <is>
          <t>Annual break-even support</t>
        </is>
      </c>
      <c r="B29" s="70">
        <f>Calculator!B52</f>
        <v/>
      </c>
    </row>
    <row r="30" ht="15" customHeight="1" s="83">
      <c r="A30" s="68" t="inlineStr">
        <is>
          <t>Cash exposure</t>
        </is>
      </c>
      <c r="B30" s="71">
        <f>Calculator!B50</f>
        <v/>
      </c>
    </row>
    <row r="31" ht="15" customHeight="1" s="83">
      <c r="A31" s="68" t="inlineStr">
        <is>
          <t>Annual 340B acquisition advantage</t>
        </is>
      </c>
      <c r="B31" s="71">
        <f>Calculator!B57</f>
        <v/>
      </c>
    </row>
    <row r="33" ht="20" customHeight="1" s="83">
      <c r="A33" s="76" t="inlineStr">
        <is>
          <t>Margin, cash, and operational risk</t>
        </is>
      </c>
      <c r="B33" s="77" t="n"/>
      <c r="C33" s="77" t="n"/>
      <c r="D33" s="77" t="n"/>
      <c r="E33" s="77" t="n"/>
      <c r="F33" s="77" t="n"/>
      <c r="G33" s="77" t="n"/>
      <c r="H33" s="78" t="n"/>
    </row>
    <row r="34" ht="24" customHeight="1" s="83">
      <c r="A34" s="64" t="inlineStr">
        <is>
          <t>Margin risk</t>
        </is>
      </c>
      <c r="B34" s="72">
        <f>Calculator!B62</f>
        <v/>
      </c>
      <c r="C34" s="73">
        <f>IF(B34="High margin risk","Per-dose margin is negative.",IF(B34="Moderate margin risk","Per-dose margin is positive but narrow.","Per-dose margin has stronger cushion under modeled assumptions."))</f>
        <v/>
      </c>
    </row>
    <row r="35" ht="24" customHeight="1" s="83">
      <c r="A35" s="64" t="inlineStr">
        <is>
          <t>Cash exposure risk</t>
        </is>
      </c>
      <c r="B35" s="74">
        <f>Calculator!B63</f>
        <v/>
      </c>
      <c r="C35" s="73">
        <f>IF(B35="High cash exposure","Payment timing and acquisition pacing create elevated float risk.",IF(B35="Moderate cash exposure","Monitor outstanding administrations and remittance timing.","Current structure suggests manageable payment float."))</f>
        <v/>
      </c>
    </row>
    <row r="36" ht="24" customHeight="1" s="83">
      <c r="A36" s="64" t="inlineStr">
        <is>
          <t>Operational risk</t>
        </is>
      </c>
      <c r="B36" s="75">
        <f>Calculator!B64</f>
        <v/>
      </c>
      <c r="C36" s="73">
        <f>IF(B36="High operational risk","Claim flow is sensitive to PA, NDC, and documentation controls.",IF(B36="Moderate operational risk","Strengthen billing workflow and pre-bill controls.","Operational control posture is stable."))</f>
        <v/>
      </c>
    </row>
    <row r="38" ht="20" customHeight="1" s="83">
      <c r="A38" s="76" t="inlineStr">
        <is>
          <t>Where the value is</t>
        </is>
      </c>
      <c r="B38" s="77" t="n"/>
      <c r="C38" s="77" t="n"/>
      <c r="D38" s="77" t="n"/>
      <c r="E38" s="77" t="n"/>
      <c r="F38" s="77" t="n"/>
      <c r="G38" s="77" t="n"/>
      <c r="H38" s="78" t="n"/>
    </row>
    <row r="39" ht="24" customHeight="1" s="83">
      <c r="A39" s="65">
        <f>IF('Scenario Inputs'!D7="Yes","340B acquisition lowers per-dose acquisition cost materially versus WAC.","This is presented as a sensitivity case without the 340B advantage.")</f>
        <v/>
      </c>
    </row>
    <row r="40" ht="24" customHeight="1" s="83">
      <c r="A40" s="65">
        <f>IF(AND('Scenario Inputs'!D10="Active",'Scenario Inputs'!D7="Yes"),"Pass-through timing improves launch-bridge payment visibility and shortens initial uncertainty.","Pass-through support is partial, so payment visibility is constrained without operational controls.")</f>
        <v/>
      </c>
    </row>
    <row r="41" ht="24" customHeight="1" s="83">
      <c r="A41" s="65">
        <f>IF('Scenario Inputs'!D11="White-bagging","White-bagging can reduce inventory exposure but also removes provider drug spread.","Clean PA, NDC, billing, wastage, and 340B documentation remain critical to realizing any margin.")</f>
        <v/>
      </c>
    </row>
    <row r="43" ht="20" customHeight="1" s="83">
      <c r="A43" s="76" t="inlineStr">
        <is>
          <t>Scenario interpretation</t>
        </is>
      </c>
      <c r="B43" s="77" t="n"/>
      <c r="C43" s="77" t="n"/>
      <c r="D43" s="77" t="n"/>
      <c r="E43" s="77" t="n"/>
      <c r="F43" s="77" t="n"/>
      <c r="G43" s="77" t="n"/>
      <c r="H43" s="78" t="n"/>
    </row>
    <row r="44" ht="24" customHeight="1" s="83">
      <c r="A44" s="65">
        <f>IF('Scenario Inputs'!D7="Yes","Primary value is strongest in the 340B center-of-excellence / HOPD launch path; non-340B cases should remain clearly secondary sensitivity views.","This path is structurally support-dependent. Keep this scenario clearly as sensitivity unless 340B controls are verified.")</f>
        <v/>
      </c>
    </row>
    <row r="45" ht="24" customHeight="1" s="83">
      <c r="A45" s="65">
        <f>IF('Scenario Inputs'!D9="Pre-code / NOC","Permanent HCPCS improves coding clarity over time, but economics remain execution-sensitive during the launch bridge.","Permanent HCPCS timing is still important for long-horizon clarity, but it does not replace launch bridge controls.")</f>
        <v/>
      </c>
    </row>
    <row r="46" ht="24" customHeight="1" s="83">
      <c r="A46" s="65">
        <f>IF('Scenario Inputs'!D10="Active","Keep operational requirements explicit: PA status, NDC reporting, invoice support, and claims edits quality.","Confirm payer-side workflow dependencies before expanding volume assumptions.")</f>
        <v/>
      </c>
    </row>
    <row r="50" ht="24" customHeight="1" s="83">
      <c r="A50" s="79" t="inlineStr">
        <is>
          <t>Estimates are for planning purposes only and do not guarantee coverage, coding, payment, or reimbursement. Providers should validate payer-specific rules, payer edits, and operational controls before claim submission.</t>
        </is>
      </c>
      <c r="B50" s="77" t="n"/>
      <c r="C50" s="77" t="n"/>
      <c r="D50" s="77" t="n"/>
      <c r="E50" s="77" t="n"/>
      <c r="F50" s="77" t="n"/>
      <c r="G50" s="77" t="n"/>
      <c r="H50" s="78" t="n"/>
    </row>
  </sheetData>
  <mergeCells count="8">
    <mergeCell ref="A12:H12"/>
    <mergeCell ref="A50:H50"/>
    <mergeCell ref="A43:H43"/>
    <mergeCell ref="A38:H38"/>
    <mergeCell ref="A2:H2"/>
    <mergeCell ref="A33:H33"/>
    <mergeCell ref="A1:H1"/>
    <mergeCell ref="A22:H22"/>
  </mergeCells>
  <pageMargins left="0.75" right="0.75" top="1" bottom="1" header="0.5" footer="0.5"/>
  <pageSetup orientation="landscape"/>
</worksheet>
</file>

<file path=xl/worksheets/sheet7.xml><?xml version="1.0" encoding="utf-8"?>
<worksheet xmlns="http://schemas.openxmlformats.org/spreadsheetml/2006/main">
  <sheetPr>
    <outlinePr summaryBelow="1" summaryRight="1"/>
    <pageSetUpPr/>
  </sheetPr>
  <dimension ref="A1:H30"/>
  <sheetViews>
    <sheetView showGridLines="0" zoomScale="115" workbookViewId="0">
      <pane ySplit="3" topLeftCell="A4" activePane="bottomLeft" state="frozen"/>
      <selection pane="bottomLeft" activeCell="A1" sqref="A1"/>
    </sheetView>
  </sheetViews>
  <sheetFormatPr baseColWidth="10" defaultColWidth="8.83203125" defaultRowHeight="14"/>
  <cols>
    <col width="40" customWidth="1" style="83" min="1" max="1"/>
    <col width="34" customWidth="1" style="83" min="2" max="2"/>
    <col width="34" customWidth="1" style="83" min="4" max="4"/>
    <col width="30" customWidth="1" style="83" min="5" max="5"/>
  </cols>
  <sheetData>
    <row r="1" ht="17" customHeight="1" s="83">
      <c r="A1" s="85" t="inlineStr">
        <is>
          <t>Reference</t>
        </is>
      </c>
    </row>
    <row r="2" ht="15" customHeight="1" s="83">
      <c r="A2" s="1" t="n"/>
      <c r="B2" s="1" t="n"/>
      <c r="C2" s="1" t="n"/>
      <c r="D2" s="1" t="n"/>
      <c r="E2" s="1" t="n"/>
      <c r="F2" s="1" t="n"/>
      <c r="G2" s="1" t="n"/>
      <c r="H2" s="1" t="n"/>
    </row>
    <row r="3" ht="16" customHeight="1" s="83">
      <c r="A3" s="20" t="inlineStr">
        <is>
          <t>Coding Assumptions</t>
        </is>
      </c>
      <c r="B3" s="20" t="inlineStr">
        <is>
          <t>Assumption</t>
        </is>
      </c>
      <c r="C3" s="5" t="n"/>
      <c r="D3" s="20" t="inlineStr">
        <is>
          <t>Policy Caveats</t>
        </is>
      </c>
      <c r="E3" s="15" t="n"/>
      <c r="F3" s="15" t="n"/>
      <c r="G3" s="15" t="n"/>
      <c r="H3" s="15" t="n"/>
    </row>
    <row r="4" ht="15" customHeight="1" s="83">
      <c r="A4" s="82" t="inlineStr">
        <is>
          <t>Launch coding</t>
        </is>
      </c>
      <c r="B4" s="82" t="inlineStr">
        <is>
          <t>Interim/NOC coding is required before product-specific HCPCS</t>
        </is>
      </c>
      <c r="C4" s="5" t="n"/>
      <c r="D4" s="82" t="inlineStr">
        <is>
          <t>Coverage does not guarantee payment.</t>
        </is>
      </c>
      <c r="E4" s="5" t="n"/>
      <c r="F4" s="5" t="n"/>
      <c r="G4" s="5" t="n"/>
      <c r="H4" s="5" t="n"/>
    </row>
    <row r="5" ht="34" customHeight="1" s="83">
      <c r="A5" s="82" t="inlineStr">
        <is>
          <t>HOPD interim code</t>
        </is>
      </c>
      <c r="B5" s="82" t="inlineStr">
        <is>
          <t>C9399 is used for HOPD OPPS interim unclassified billing when applicable</t>
        </is>
      </c>
      <c r="C5" s="5" t="n"/>
      <c r="D5" s="82" t="inlineStr">
        <is>
          <t>Prior authorization is expected.</t>
        </is>
      </c>
      <c r="E5" s="5" t="n"/>
      <c r="F5" s="5" t="n"/>
      <c r="G5" s="5" t="n"/>
      <c r="H5" s="5" t="n"/>
    </row>
    <row r="6" ht="34" customHeight="1" s="83">
      <c r="A6" s="82" t="inlineStr">
        <is>
          <t>Professional interim codes</t>
        </is>
      </c>
      <c r="B6" s="82" t="inlineStr">
        <is>
          <t>J3490 or J3590 are used when payer/product classification supports NOC professional billing</t>
        </is>
      </c>
      <c r="C6" s="5" t="n"/>
      <c r="D6" s="82" t="inlineStr">
        <is>
          <t>Site-of-care review is expected.</t>
        </is>
      </c>
      <c r="E6" s="5" t="n"/>
      <c r="F6" s="5" t="n"/>
      <c r="G6" s="5" t="n"/>
      <c r="H6" s="5" t="n"/>
    </row>
    <row r="7" ht="34" customHeight="1" s="83">
      <c r="A7" s="82" t="inlineStr">
        <is>
          <t>Permanent HCPCS</t>
        </is>
      </c>
      <c r="B7" s="82" t="inlineStr">
        <is>
          <t>Product-specific HCPCS is effective April 1, 2027</t>
        </is>
      </c>
      <c r="C7" s="5" t="n"/>
      <c r="D7" s="82" t="inlineStr">
        <is>
          <t>Commercial payers may require specialty pharmacy or white-bagging.</t>
        </is>
      </c>
      <c r="E7" s="5" t="n"/>
      <c r="F7" s="5" t="n"/>
      <c r="G7" s="5" t="n"/>
      <c r="H7" s="5" t="n"/>
    </row>
    <row r="8" ht="34" customHeight="1" s="83">
      <c r="A8" s="82" t="inlineStr">
        <is>
          <t>NDC reporting</t>
        </is>
      </c>
      <c r="B8" s="82" t="inlineStr">
        <is>
          <t>NDC reporting is required for Medicaid PAD and required/important for commercial, manual pricing, and OPPS workflows</t>
        </is>
      </c>
      <c r="C8" s="5" t="n"/>
      <c r="D8" s="82" t="inlineStr">
        <is>
          <t>Medicaid payment is state-specific.</t>
        </is>
      </c>
      <c r="E8" s="5" t="n"/>
      <c r="F8" s="5" t="n"/>
      <c r="G8" s="5" t="n"/>
      <c r="H8" s="5" t="n"/>
    </row>
    <row r="9" ht="34" customHeight="1" s="83">
      <c r="A9" s="82" t="inlineStr">
        <is>
          <t>JW/JZ</t>
        </is>
      </c>
      <c r="B9" s="82" t="inlineStr">
        <is>
          <t>JW/JZ reporting is required where applicable for single-dose vial billing</t>
        </is>
      </c>
      <c r="C9" s="5" t="n"/>
      <c r="D9" s="82" t="inlineStr">
        <is>
          <t>EPSDT may support pediatric medical necessity but does not establish provider payment.</t>
        </is>
      </c>
      <c r="E9" s="5" t="n"/>
      <c r="F9" s="5" t="n"/>
      <c r="G9" s="5" t="n"/>
      <c r="H9" s="5" t="n"/>
    </row>
    <row r="10" ht="34" customHeight="1" s="83">
      <c r="A10" s="82" t="inlineStr">
        <is>
          <t>340B modifier</t>
        </is>
      </c>
      <c r="B10" s="82" t="inlineStr">
        <is>
          <t>TB or payer-required 340B modifier is used where applicable</t>
        </is>
      </c>
      <c r="C10" s="5" t="n"/>
      <c r="D10" s="82" t="inlineStr">
        <is>
          <t>ASP-based reimbursement must be updated when ASP becomes available.</t>
        </is>
      </c>
      <c r="E10" s="5" t="n"/>
      <c r="F10" s="5" t="n"/>
      <c r="G10" s="5" t="n"/>
      <c r="H10" s="5" t="n"/>
    </row>
    <row r="11" ht="15" customHeight="1" s="83">
      <c r="A11" s="6" t="n"/>
      <c r="B11" s="6" t="n"/>
      <c r="C11" s="5" t="n"/>
      <c r="D11" s="6" t="n"/>
      <c r="E11" s="5" t="n"/>
      <c r="F11" s="5" t="n"/>
      <c r="G11" s="5" t="n"/>
      <c r="H11" s="5" t="n"/>
    </row>
    <row r="12" ht="16" customHeight="1" s="83">
      <c r="A12" s="20" t="inlineStr">
        <is>
          <t>Reimbursement Assumptions</t>
        </is>
      </c>
      <c r="B12" s="20" t="inlineStr">
        <is>
          <t>Assumption</t>
        </is>
      </c>
      <c r="C12" s="5" t="n"/>
      <c r="D12" s="20" t="inlineStr">
        <is>
          <t>340B Compliance Caveats</t>
        </is>
      </c>
      <c r="E12" s="15" t="n"/>
      <c r="F12" s="15" t="n"/>
      <c r="G12" s="15" t="n"/>
      <c r="H12" s="15" t="n"/>
    </row>
    <row r="13" ht="15" customHeight="1" s="83">
      <c r="A13" s="82" t="inlineStr">
        <is>
          <t>Pre-ASP benchmark</t>
        </is>
      </c>
      <c r="B13" s="82" t="inlineStr">
        <is>
          <t>103% of WAC</t>
        </is>
      </c>
      <c r="C13" s="5" t="n"/>
      <c r="D13" s="82" t="inlineStr">
        <is>
          <t>340B status must be confirmed by the provider.</t>
        </is>
      </c>
      <c r="E13" s="5" t="n"/>
      <c r="F13" s="5" t="n"/>
      <c r="G13" s="5" t="n"/>
      <c r="H13" s="5" t="n"/>
    </row>
    <row r="14" ht="15" customHeight="1" s="83">
      <c r="A14" s="82" t="inlineStr">
        <is>
          <t>WAC</t>
        </is>
      </c>
      <c r="B14" s="82" t="inlineStr">
        <is>
          <t>$39,000</t>
        </is>
      </c>
      <c r="C14" s="5" t="n"/>
      <c r="D14" s="82" t="inlineStr">
        <is>
          <t>Covered entity and child-site eligibility must be validated.</t>
        </is>
      </c>
      <c r="E14" s="5" t="n"/>
      <c r="F14" s="5" t="n"/>
      <c r="G14" s="5" t="n"/>
      <c r="H14" s="5" t="n"/>
    </row>
    <row r="15" ht="15" customHeight="1" s="83">
      <c r="A15" s="82" t="inlineStr">
        <is>
          <t>Pre-ASP period</t>
        </is>
      </c>
      <c r="B15" s="82" t="inlineStr">
        <is>
          <t>First two quarters</t>
        </is>
      </c>
      <c r="C15" s="5" t="n"/>
      <c r="D15" s="82" t="inlineStr">
        <is>
          <t>Medicaid carve-in/carve-out status must be confirmed.</t>
        </is>
      </c>
      <c r="E15" s="5" t="n"/>
      <c r="F15" s="5" t="n"/>
      <c r="G15" s="5" t="n"/>
      <c r="H15" s="5" t="n"/>
    </row>
    <row r="16" ht="34" customHeight="1" s="83">
      <c r="A16" s="82" t="inlineStr">
        <is>
          <t>OPPS pass-through</t>
        </is>
      </c>
      <c r="B16" s="82" t="inlineStr">
        <is>
          <t>Effective January 1, 2027</t>
        </is>
      </c>
      <c r="C16" s="5" t="n"/>
      <c r="D16" s="82" t="inlineStr">
        <is>
          <t>Duplicate-discount controls remain the provider’s responsibility.</t>
        </is>
      </c>
      <c r="E16" s="5" t="n"/>
      <c r="F16" s="5" t="n"/>
      <c r="G16" s="5" t="n"/>
      <c r="H16" s="5" t="n"/>
    </row>
    <row r="17" ht="34" customHeight="1" s="83">
      <c r="A17" s="84" t="inlineStr">
        <is>
          <t>Annual doses</t>
        </is>
      </c>
      <c r="B17" s="82" t="inlineStr">
        <is>
          <t>26</t>
        </is>
      </c>
      <c r="C17" s="5" t="n"/>
      <c r="D17" s="82" t="inlineStr">
        <is>
          <t>340B modifier requirements may vary by payer and program context.</t>
        </is>
      </c>
      <c r="E17" s="5" t="n"/>
      <c r="F17" s="5" t="n"/>
      <c r="G17" s="5" t="n"/>
      <c r="H17" s="5" t="n"/>
    </row>
    <row r="18" ht="15" customHeight="1" s="83">
      <c r="A18" s="82" t="inlineStr">
        <is>
          <t>Default customer</t>
        </is>
      </c>
      <c r="B18" s="82" t="inlineStr">
        <is>
          <t>340B center of excellence</t>
        </is>
      </c>
      <c r="C18" s="5" t="n"/>
      <c r="D18" s="82" t="inlineStr">
        <is>
          <t>Calculator output is not a 340B compliance determination.</t>
        </is>
      </c>
      <c r="E18" s="5" t="n"/>
      <c r="F18" s="5" t="n"/>
      <c r="G18" s="5" t="n"/>
      <c r="H18" s="5" t="n"/>
    </row>
    <row r="19" ht="15" customHeight="1" s="83">
      <c r="A19" s="82" t="inlineStr">
        <is>
          <t>Default acquisition model</t>
        </is>
      </c>
      <c r="B19" s="82" t="inlineStr">
        <is>
          <t>340B acquisition where applicable</t>
        </is>
      </c>
      <c r="C19" s="5" t="n"/>
      <c r="D19" s="5" t="n"/>
      <c r="E19" s="5" t="n"/>
      <c r="F19" s="5" t="n"/>
      <c r="G19" s="5" t="n"/>
      <c r="H19" s="5" t="n"/>
    </row>
    <row r="20" ht="34" customHeight="1" s="83">
      <c r="A20" s="82" t="inlineStr">
        <is>
          <t>White-bagging (payer-driven)</t>
        </is>
      </c>
      <c r="B20" s="82" t="inlineStr">
        <is>
          <t>Drug acquisition and drug reimbursement to provider are $0 for the white-bagged portion</t>
        </is>
      </c>
      <c r="C20" s="5" t="n"/>
      <c r="D20" s="5" t="n"/>
      <c r="E20" s="5" t="n"/>
      <c r="F20" s="5" t="n"/>
      <c r="G20" s="5" t="n"/>
      <c r="H20" s="5" t="n"/>
    </row>
    <row r="21" ht="34" customHeight="1" s="83">
      <c r="A21" s="82" t="inlineStr">
        <is>
          <t>Buy-and-bill</t>
        </is>
      </c>
      <c r="B21" s="82" t="inlineStr">
        <is>
          <t>Provider carries acquisition cost and bills drug reimbursement</t>
        </is>
      </c>
      <c r="C21" s="5" t="n"/>
      <c r="D21" s="5" t="n"/>
      <c r="E21" s="5" t="n"/>
      <c r="F21" s="5" t="n"/>
      <c r="G21" s="5" t="n"/>
      <c r="H21" s="5" t="n"/>
    </row>
    <row r="22" ht="34" customHeight="1" s="83">
      <c r="A22" s="82" t="inlineStr">
        <is>
          <t>Mixed sourcing</t>
        </is>
      </c>
      <c r="B22" s="82" t="inlineStr">
        <is>
          <t>White-bagging percentage reduces both provider acquisition and provider drug reimbursement proportionally</t>
        </is>
      </c>
      <c r="C22" s="5" t="n"/>
      <c r="D22" s="5" t="n"/>
      <c r="E22" s="5" t="n"/>
      <c r="F22" s="5" t="n"/>
      <c r="G22" s="5" t="n"/>
      <c r="H22" s="5" t="n"/>
    </row>
    <row r="23" ht="15" customHeight="1" s="83">
      <c r="A23" s="6" t="n"/>
      <c r="B23" s="6" t="n"/>
      <c r="C23" s="5" t="n"/>
      <c r="D23" s="5" t="n"/>
      <c r="E23" s="5" t="n"/>
      <c r="F23" s="5" t="n"/>
      <c r="G23" s="5" t="n"/>
      <c r="H23" s="5" t="n"/>
    </row>
    <row r="24" ht="16" customHeight="1" s="83">
      <c r="A24" s="20" t="inlineStr">
        <is>
          <t>Hybrid PDF Approach</t>
        </is>
      </c>
      <c r="B24" s="20" t="inlineStr">
        <is>
          <t>Purpose</t>
        </is>
      </c>
      <c r="C24" s="5" t="n"/>
      <c r="D24" s="5" t="n"/>
      <c r="E24" s="5" t="n"/>
      <c r="F24" s="5" t="n"/>
      <c r="G24" s="5" t="n"/>
      <c r="H24" s="5" t="n"/>
    </row>
    <row r="25" ht="15" customHeight="1" s="83">
      <c r="A25" s="82" t="inlineStr">
        <is>
          <t>Excel workbook</t>
        </is>
      </c>
      <c r="B25" s="82" t="inlineStr">
        <is>
          <t>Live formula engine and scenario calculator</t>
        </is>
      </c>
      <c r="C25" s="5" t="n"/>
      <c r="D25" s="5" t="n"/>
      <c r="E25" s="5" t="n"/>
      <c r="F25" s="5" t="n"/>
      <c r="G25" s="5" t="n"/>
      <c r="H25" s="5" t="n"/>
    </row>
    <row r="26" ht="15" customHeight="1" s="83">
      <c r="A26" s="82" t="inlineStr">
        <is>
          <t>PDF summary</t>
        </is>
      </c>
      <c r="B26" s="82" t="inlineStr">
        <is>
          <t>Static one-page leave-behind generated from the PDF Output tab.</t>
        </is>
      </c>
      <c r="C26" s="5" t="n"/>
      <c r="D26" s="5" t="n"/>
      <c r="E26" s="5" t="n"/>
      <c r="F26" s="5" t="n"/>
      <c r="G26" s="5" t="n"/>
      <c r="H26" s="5" t="n"/>
    </row>
    <row r="27" ht="15" customHeight="1" s="83">
      <c r="A27" s="5" t="n"/>
      <c r="B27" s="5" t="n"/>
      <c r="C27" s="5" t="n"/>
      <c r="D27" s="5" t="n"/>
      <c r="E27" s="5" t="n"/>
      <c r="F27" s="5" t="n"/>
      <c r="G27" s="5" t="n"/>
      <c r="H27" s="5" t="n"/>
    </row>
    <row r="28" ht="15" customHeight="1" s="83">
      <c r="A28" s="5" t="n"/>
      <c r="B28" s="5" t="n"/>
      <c r="C28" s="5" t="n"/>
      <c r="D28" s="5" t="n"/>
      <c r="E28" s="5" t="n"/>
      <c r="F28" s="5" t="n"/>
      <c r="G28" s="5" t="n"/>
      <c r="H28" s="5" t="n"/>
    </row>
    <row r="29" ht="15" customHeight="1" s="83">
      <c r="A29" s="5" t="n"/>
      <c r="B29" s="5" t="n"/>
      <c r="C29" s="5" t="n"/>
      <c r="D29" s="5" t="n"/>
      <c r="E29" s="5" t="n"/>
      <c r="F29" s="5" t="n"/>
      <c r="G29" s="5" t="n"/>
      <c r="H29" s="5" t="n"/>
    </row>
    <row r="30" ht="15" customHeight="1" s="83">
      <c r="A30" s="5" t="n"/>
      <c r="B30" s="5" t="n"/>
      <c r="C30" s="5" t="n"/>
      <c r="D30" s="5" t="n"/>
      <c r="E30" s="5" t="n"/>
      <c r="F30" s="5" t="n"/>
      <c r="G30" s="5" t="n"/>
      <c r="H30" s="5" t="n"/>
    </row>
  </sheetData>
  <mergeCells count="1">
    <mergeCell ref="A1:H1"/>
  </mergeCells>
  <pageMargins left="0.6" right="0.6" top="0.7" bottom="0.7" header="0.2" footer="0.2"/>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JL Policy Consulting</dc:creator>
  <dc:title>Adrabetadex Provider Net-Cost Recovery Calculator</dc:title>
  <dc:subject>Provider net-cost recovery scenario model</dc:subject>
  <dcterms:created xsi:type="dcterms:W3CDTF">2026-04-23T11:30:48Z</dcterms:created>
  <dcterms:modified xsi:type="dcterms:W3CDTF">2026-04-23T13:48:40Z</dcterms:modified>
  <cp:lastModifiedBy>Joseph Stewart</cp:lastModifiedBy>
</cp:coreProperties>
</file>