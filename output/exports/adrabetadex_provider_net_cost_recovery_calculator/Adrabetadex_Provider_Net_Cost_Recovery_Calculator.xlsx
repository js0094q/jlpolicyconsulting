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Instructions" sheetId="1" state="visible" r:id="rId3"/>
    <sheet name="Scenario Engine" sheetId="2" state="visible" r:id="rId4"/>
    <sheet name="Product Economics" sheetId="3" state="visible" r:id="rId5"/>
    <sheet name="Coding Payment" sheetId="4" state="visible" r:id="rId6"/>
    <sheet name="Site Channel" sheetId="5" state="visible" r:id="rId7"/>
    <sheet name="Operating Burden" sheetId="6" state="visible" r:id="rId8"/>
    <sheet name="Payer Controls" sheetId="7" state="visible" r:id="rId9"/>
    <sheet name="Calculator" sheetId="8" state="visible" r:id="rId10"/>
    <sheet name="Output Summary" sheetId="9" state="visible" r:id="rId11"/>
    <sheet name="Source Register" sheetId="10" state="visible" r:id="rId12"/>
    <sheet name="Test Cases" sheetId="11" state="visible" r:id="rId13"/>
  </sheets>
  <definedNames>
    <definedName function="false" hidden="false" localSheetId="8" name="_xlnm.Print_Area" vbProcedure="false">'Output Summary'!$A$1:$H$37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<sst xmlns="http://schemas.openxmlformats.org/spreadsheetml/2006/main" count="833" uniqueCount="541">
  <si>
    <t xml:space="preserve">Adrabetadex Final ARM Provider Net Cost Recovery Tool</t>
  </si>
  <si>
    <t xml:space="preserve">Reimbursement-readiness and economic-exposure model for ARM-led provider conversations after approved authorization.</t>
  </si>
  <si>
    <t xml:space="preserve">Required field-use framing</t>
  </si>
  <si>
    <t xml:space="preserve">This model assumes payer authorization has been approved for the patient, dose, frequency, site of care, and sourcing pathway reflected in the selected scenario. If authorization is pending, denied, under appeal, expired, or inconsistent with the modeled site/sourcing pathway, the economic output should not be used.</t>
  </si>
  <si>
    <t xml:space="preserve">Standard caveat</t>
  </si>
  <si>
    <t xml:space="preserve">This scenario is for reimbursement planning only. It does not guarantee coverage, coding, payment, reimbursement, acquisition cost, provider margin, payer behavior, 340B pricing, pass-through status, HCPCS assignment, or claim outcome. Providers are responsible for verifying coding, billing, payer rules, contract terms, documentation, and institutional policy before claim submission.</t>
  </si>
  <si>
    <t xml:space="preserve">Positioning</t>
  </si>
  <si>
    <t xml:space="preserve">Use as</t>
  </si>
  <si>
    <t xml:space="preserve">A reimbursement-readiness and economic-exposure model for approved-scope scenarios.</t>
  </si>
  <si>
    <t xml:space="preserve">Do not use as</t>
  </si>
  <si>
    <t xml:space="preserve">A provider profitability calculator, coding recommendation, coverage guarantee, payment guarantee, manufacturer funding calculator, 340B spread calculator, or replacement for provider review.</t>
  </si>
  <si>
    <t xml:space="preserve">Release gate</t>
  </si>
  <si>
    <t xml:space="preserve">Economics calculate only when PA is approved and the approval scope matches dose, frequency, site of care, sourcing pathway, authorization dates, and authorized dose count.</t>
  </si>
  <si>
    <t xml:space="preserve">Scenario control</t>
  </si>
  <si>
    <t xml:space="preserve">One selected scenario ID drives all categorical and numeric assumptions. Manual overrides are blank by default and visible when activated.</t>
  </si>
  <si>
    <t xml:space="preserve">Audience layers</t>
  </si>
  <si>
    <t xml:space="preserve">Component</t>
  </si>
  <si>
    <t xml:space="preserve">Audience</t>
  </si>
  <si>
    <t xml:space="preserve">Requirement</t>
  </si>
  <si>
    <t xml:space="preserve">Locked ARM calculator</t>
  </si>
  <si>
    <t xml:space="preserve">ARMs and internal reimbursement team</t>
  </si>
  <si>
    <t xml:space="preserve">Controlled scenario model with locked formulas, approved input cells, and visible risk flags.</t>
  </si>
  <si>
    <t xml:space="preserve">ARM conversation guide</t>
  </si>
  <si>
    <t xml:space="preserve">ARMs</t>
  </si>
  <si>
    <t xml:space="preserve">Stepwise workflow for provider conversations.</t>
  </si>
  <si>
    <t xml:space="preserve">Provider-facing worksheet/PDF</t>
  </si>
  <si>
    <t xml:space="preserve">Provider finance, pharmacy, billing, access teams</t>
  </si>
  <si>
    <t xml:space="preserve">Educational summary using provider-entered assumptions. No guarantee language.</t>
  </si>
  <si>
    <t xml:space="preserve">Billing-readiness checklist</t>
  </si>
  <si>
    <t xml:space="preserve">Provider billing/revenue cycle</t>
  </si>
  <si>
    <t xml:space="preserve">Candidate claim-readiness prompts only; does not prescribe codes.</t>
  </si>
  <si>
    <t xml:space="preserve">Policy/source register</t>
  </si>
  <si>
    <t xml:space="preserve">MLR, compliance, market access</t>
  </si>
  <si>
    <t xml:space="preserve">CMS, Medicaid, HRSA, payer-policy, and planning assumptions with source dates and owners.</t>
  </si>
  <si>
    <t xml:space="preserve">Scenario Engine</t>
  </si>
  <si>
    <t xml:space="preserve">Single scenario ID drives categorical and numeric assumptions.</t>
  </si>
  <si>
    <t xml:space="preserve">Selected Scenario ID</t>
  </si>
  <si>
    <t xml:space="preserve">S01</t>
  </si>
  <si>
    <t xml:space="preserve">Scenario name</t>
  </si>
  <si>
    <t xml:space="preserve">Manual override active?</t>
  </si>
  <si>
    <t xml:space="preserve">No</t>
  </si>
  <si>
    <t xml:space="preserve">Field-use framing</t>
  </si>
  <si>
    <t xml:space="preserve">Scenario Field</t>
  </si>
  <si>
    <t xml:space="preserve">Preset Value</t>
  </si>
  <si>
    <t xml:space="preserve">Manual Override</t>
  </si>
  <si>
    <t xml:space="preserve">Active Value</t>
  </si>
  <si>
    <t xml:space="preserve">Active Source</t>
  </si>
  <si>
    <t xml:space="preserve">Notes</t>
  </si>
  <si>
    <t xml:space="preserve">Site of care</t>
  </si>
  <si>
    <t xml:space="preserve">HOPD, physician office, ASC/other, inpatient exception</t>
  </si>
  <si>
    <t xml:space="preserve">Site profile</t>
  </si>
  <si>
    <t xml:space="preserve">COE, pediatric specialty hospital, academic center, community site</t>
  </si>
  <si>
    <t xml:space="preserve">340B status</t>
  </si>
  <si>
    <t xml:space="preserve">Yes, no, unknown, not applicable</t>
  </si>
  <si>
    <t xml:space="preserve">Payer type</t>
  </si>
  <si>
    <t xml:space="preserve">Commercial, Medicaid FFS, Medicaid MCO, Medicare, other</t>
  </si>
  <si>
    <t xml:space="preserve">Sourcing pathway</t>
  </si>
  <si>
    <t xml:space="preserve">Buy-and-bill, white-bagging, specialty pharmacy, mixed</t>
  </si>
  <si>
    <t xml:space="preserve">Product coding status</t>
  </si>
  <si>
    <t xml:space="preserve">Separates HCPCS/NOC/payer-directed coding from payment state</t>
  </si>
  <si>
    <t xml:space="preserve">Payment status</t>
  </si>
  <si>
    <t xml:space="preserve">Payment branch, not coding status</t>
  </si>
  <si>
    <t xml:space="preserve">Authorization type</t>
  </si>
  <si>
    <t xml:space="preserve">Initial approval or reauthorization approval</t>
  </si>
  <si>
    <t xml:space="preserve">Modeled dose</t>
  </si>
  <si>
    <t xml:space="preserve">Must match authorized dose</t>
  </si>
  <si>
    <t xml:space="preserve">Modeled frequency</t>
  </si>
  <si>
    <t xml:space="preserve">Must match authorized frequency</t>
  </si>
  <si>
    <t xml:space="preserve">Administrations per year</t>
  </si>
  <si>
    <t xml:space="preserve">Default 26 for every two weeks</t>
  </si>
  <si>
    <t xml:space="preserve">Acquisition basis</t>
  </si>
  <si>
    <t xml:space="preserve">WAC, 340B, site-entered, payer-directed, specialty pharmacy, other</t>
  </si>
  <si>
    <t xml:space="preserve">Payer payment method</t>
  </si>
  <si>
    <t xml:space="preserve">Medicare benchmark, commercial contract, Medicaid FFS, Medicaid MCO, manual pricing, payer-specific</t>
  </si>
  <si>
    <t xml:space="preserve">Claim type</t>
  </si>
  <si>
    <t xml:space="preserve">UB-04/837I or CMS-1500/837P based on site</t>
  </si>
  <si>
    <t xml:space="preserve">Medicaid line of business</t>
  </si>
  <si>
    <t xml:space="preserve">FFS, MCO, not applicable</t>
  </si>
  <si>
    <t xml:space="preserve">340B treatment</t>
  </si>
  <si>
    <t xml:space="preserve">Carve-in, carve-out, unresolved, unknown, not applicable</t>
  </si>
  <si>
    <t xml:space="preserve">Scenario ID</t>
  </si>
  <si>
    <t xml:space="preserve">Scenario Name</t>
  </si>
  <si>
    <t xml:space="preserve">Purpose</t>
  </si>
  <si>
    <t xml:space="preserve">Medicaid LOB</t>
  </si>
  <si>
    <t xml:space="preserve">Allowed drug reimbursement</t>
  </si>
  <si>
    <t xml:space="preserve">Acquisition cost</t>
  </si>
  <si>
    <t xml:space="preserve">Procedure/admin revenue</t>
  </si>
  <si>
    <t xml:space="preserve">Other services</t>
  </si>
  <si>
    <t xml:space="preserve">Pharmacy handling</t>
  </si>
  <si>
    <t xml:space="preserve">Labor/admin</t>
  </si>
  <si>
    <t xml:space="preserve">Billing/revenue-cycle</t>
  </si>
  <si>
    <t xml:space="preserve">Claim denial rate</t>
  </si>
  <si>
    <t xml:space="preserve">Appeal recovery rate</t>
  </si>
  <si>
    <t xml:space="preserve">Days to payment</t>
  </si>
  <si>
    <t xml:space="preserve">Financing rate</t>
  </si>
  <si>
    <t xml:space="preserve">WAC per vial</t>
  </si>
  <si>
    <t xml:space="preserve">Vial size mg</t>
  </si>
  <si>
    <t xml:space="preserve">Scenario note</t>
  </si>
  <si>
    <t xml:space="preserve">340B COE/HOPD, buy-and-bill, pass-through-if-granted</t>
  </si>
  <si>
    <t xml:space="preserve">Core launch planning scenario.</t>
  </si>
  <si>
    <t xml:space="preserve">HOPD</t>
  </si>
  <si>
    <t xml:space="preserve">COE</t>
  </si>
  <si>
    <t xml:space="preserve">Yes</t>
  </si>
  <si>
    <t xml:space="preserve">Medicare</t>
  </si>
  <si>
    <t xml:space="preserve">Buy-and-bill</t>
  </si>
  <si>
    <t xml:space="preserve">C9399/NOC</t>
  </si>
  <si>
    <t xml:space="preserve">OPPS pass-through active</t>
  </si>
  <si>
    <t xml:space="preserve">Initial approval</t>
  </si>
  <si>
    <t xml:space="preserve">Every 2 weeks</t>
  </si>
  <si>
    <t xml:space="preserve">340B</t>
  </si>
  <si>
    <t xml:space="preserve">Medicare benchmark</t>
  </si>
  <si>
    <t xml:space="preserve">UB-04/837I</t>
  </si>
  <si>
    <t xml:space="preserve">Not applicable</t>
  </si>
  <si>
    <t xml:space="preserve">Carve-out</t>
  </si>
  <si>
    <t xml:space="preserve">Pass-through used only if granted and effective; otherwise re-run S02.</t>
  </si>
  <si>
    <t xml:space="preserve">S02</t>
  </si>
  <si>
    <t xml:space="preserve">340B COE/HOPD, pre-pass-through/interim coding</t>
  </si>
  <si>
    <t xml:space="preserve">Launch bridge risk scenario.</t>
  </si>
  <si>
    <t xml:space="preserve">Manual pricing</t>
  </si>
  <si>
    <t xml:space="preserve">Manual-review branch; documentation and payer confirmation drive risk.</t>
  </si>
  <si>
    <t xml:space="preserve">S03</t>
  </si>
  <si>
    <t xml:space="preserve">340B COE/HOPD, product-specific HCPCS active</t>
  </si>
  <si>
    <t xml:space="preserve">Post-bridge steady-state scenario.</t>
  </si>
  <si>
    <t xml:space="preserve">Product-specific HCPCS assigned</t>
  </si>
  <si>
    <t xml:space="preserve">ASP available</t>
  </si>
  <si>
    <t xml:space="preserve">Reauthorization approval</t>
  </si>
  <si>
    <t xml:space="preserve">Payment method still depends on setting, payer, and effective files.</t>
  </si>
  <si>
    <t xml:space="preserve">S04</t>
  </si>
  <si>
    <t xml:space="preserve">Non-340B HOPD, commercial buy-and-bill</t>
  </si>
  <si>
    <t xml:space="preserve">Sensitivity scenario for thinner economics.</t>
  </si>
  <si>
    <t xml:space="preserve">Academic center</t>
  </si>
  <si>
    <t xml:space="preserve">Commercial</t>
  </si>
  <si>
    <t xml:space="preserve">Payer-directed code</t>
  </si>
  <si>
    <t xml:space="preserve">Commercial contracted</t>
  </si>
  <si>
    <t xml:space="preserve">WAC</t>
  </si>
  <si>
    <t xml:space="preserve">Commercial contract</t>
  </si>
  <si>
    <t xml:space="preserve">Use payer contract or site-entered allowed amount; do not default to Medicare.</t>
  </si>
  <si>
    <t xml:space="preserve">S05</t>
  </si>
  <si>
    <t xml:space="preserve">White-bagging/specialty pharmacy sourcing</t>
  </si>
  <si>
    <t xml:space="preserve">Inventory-risk reduction but limited/no drug spread.</t>
  </si>
  <si>
    <t xml:space="preserve">Unknown</t>
  </si>
  <si>
    <t xml:space="preserve">White-bagging</t>
  </si>
  <si>
    <t xml:space="preserve">White-bagged/no drug reimbursement</t>
  </si>
  <si>
    <t xml:space="preserve">Specialty pharmacy</t>
  </si>
  <si>
    <t xml:space="preserve">Payer-specific</t>
  </si>
  <si>
    <t xml:space="preserve">Drug reimbursement and acquisition exposure are zero unless payer terms say otherwise.</t>
  </si>
  <si>
    <t xml:space="preserve">S06</t>
  </si>
  <si>
    <t xml:space="preserve">Medicaid FFS 340B</t>
  </si>
  <si>
    <t xml:space="preserve">NDC/PAD, carve-in/carve-out, and duplicate-discount branch.</t>
  </si>
  <si>
    <t xml:space="preserve">Pediatric specialty hospital</t>
  </si>
  <si>
    <t xml:space="preserve">Medicaid FFS</t>
  </si>
  <si>
    <t xml:space="preserve">Medicaid FFS state-specific</t>
  </si>
  <si>
    <t xml:space="preserve">FFS</t>
  </si>
  <si>
    <t xml:space="preserve">Unresolved</t>
  </si>
  <si>
    <t xml:space="preserve">Requires state-specific methodology, NDC/PAD fields, and duplicate-discount resolution.</t>
  </si>
  <si>
    <t xml:space="preserve">S07</t>
  </si>
  <si>
    <t xml:space="preserve">Medicaid MCO</t>
  </si>
  <si>
    <t xml:space="preserve">Plan-specific Medicaid branch. Do not assume FFS logic.</t>
  </si>
  <si>
    <t xml:space="preserve">Community site</t>
  </si>
  <si>
    <t xml:space="preserve">Mixed</t>
  </si>
  <si>
    <t xml:space="preserve">Medicaid MCO plan-specific</t>
  </si>
  <si>
    <t xml:space="preserve">Payer-directed</t>
  </si>
  <si>
    <t xml:space="preserve">MCO</t>
  </si>
  <si>
    <t xml:space="preserve">Requires plan-specific confirmation; FFS payment logic is not assumed.</t>
  </si>
  <si>
    <t xml:space="preserve">S08</t>
  </si>
  <si>
    <t xml:space="preserve">Physician office pre-ASP</t>
  </si>
  <si>
    <t xml:space="preserve">103% WAC benchmark sensitivity only.</t>
  </si>
  <si>
    <t xml:space="preserve">Physician office</t>
  </si>
  <si>
    <t xml:space="preserve">No product-specific HCPCS</t>
  </si>
  <si>
    <t xml:space="preserve">Pre-ASP WAC benchmark</t>
  </si>
  <si>
    <t xml:space="preserve">CMS-1500/837P</t>
  </si>
  <si>
    <t xml:space="preserve">103% WAC is used only for physician office pre-ASP sensitivity.</t>
  </si>
  <si>
    <t xml:space="preserve">Product Economics</t>
  </si>
  <si>
    <t xml:space="preserve">Gross exposure, acquisition, reimbursement, and dosing formulas.</t>
  </si>
  <si>
    <t xml:space="preserve">Field</t>
  </si>
  <si>
    <t xml:space="preserve">Value</t>
  </si>
  <si>
    <t xml:space="preserve">Source</t>
  </si>
  <si>
    <t xml:space="preserve">Scenario library</t>
  </si>
  <si>
    <t xml:space="preserve">Internal planning assumption; update through source register.</t>
  </si>
  <si>
    <t xml:space="preserve">Vial size (mg)</t>
  </si>
  <si>
    <t xml:space="preserve">Must align with dosing and wastage logic.</t>
  </si>
  <si>
    <t xml:space="preserve">Dose per administration (mg)</t>
  </si>
  <si>
    <t xml:space="preserve">Scenario engine</t>
  </si>
  <si>
    <t xml:space="preserve">Must match authorized dose.</t>
  </si>
  <si>
    <t xml:space="preserve">Dosing frequency</t>
  </si>
  <si>
    <t xml:space="preserve">Must match authorized frequency.</t>
  </si>
  <si>
    <t xml:space="preserve">Default 26 for every two weeks.</t>
  </si>
  <si>
    <t xml:space="preserve">Vials per administration</t>
  </si>
  <si>
    <t xml:space="preserve">Derived</t>
  </si>
  <si>
    <t xml:space="preserve">Rounded up to whole vials.</t>
  </si>
  <si>
    <t xml:space="preserve">Wastage amount (mg)</t>
  </si>
  <si>
    <t xml:space="preserve">JW/JZ handling is a checklist/risk prompt only.</t>
  </si>
  <si>
    <t xml:space="preserve">Gross Drug Exposure per Dose</t>
  </si>
  <si>
    <t xml:space="preserve">WAC per vial x vials per administration.</t>
  </si>
  <si>
    <t xml:space="preserve">WAC, 340B, site-entered, payer-directed, specialty pharmacy, or other.</t>
  </si>
  <si>
    <t xml:space="preserve">Scenario acquisition cost default</t>
  </si>
  <si>
    <t xml:space="preserve">Blank manual overrides remain blank until actively enabled.</t>
  </si>
  <si>
    <t xml:space="preserve">Acquisition Cost per Dose</t>
  </si>
  <si>
    <t xml:space="preserve">Zero for white-bagging/SP unless payer-specific terms say otherwise.</t>
  </si>
  <si>
    <t xml:space="preserve">Payment branch, not coding status.</t>
  </si>
  <si>
    <t xml:space="preserve">Allowed Drug Reimbursement per Dose</t>
  </si>
  <si>
    <t xml:space="preserve">103% WAC branch applies only to physician office pre-ASP.</t>
  </si>
  <si>
    <t xml:space="preserve">Procedure/Admin Revenue</t>
  </si>
  <si>
    <t xml:space="preserve">Provider/site-entered benchmark or planning default.</t>
  </si>
  <si>
    <t xml:space="preserve">Other Reimbursable Services</t>
  </si>
  <si>
    <t xml:space="preserve">Optional.</t>
  </si>
  <si>
    <t xml:space="preserve">Gross Recovery per Dose</t>
  </si>
  <si>
    <t xml:space="preserve">Drug reimbursement plus administration revenue.</t>
  </si>
  <si>
    <t xml:space="preserve">Coding and Payment State</t>
  </si>
  <si>
    <t xml:space="preserve">Coding status and payment status remain distinct throughout the tool.</t>
  </si>
  <si>
    <t xml:space="preserve">Interpretation</t>
  </si>
  <si>
    <t xml:space="preserve">Guardrail</t>
  </si>
  <si>
    <t xml:space="preserve">How product may be reported on a claim.</t>
  </si>
  <si>
    <t xml:space="preserve">No product-specific HCPCS; C9399/NOC; product-specific HCPCS assigned; payer-directed code.</t>
  </si>
  <si>
    <t xml:space="preserve">How reimbursement may be calculated or adjudicated.</t>
  </si>
  <si>
    <t xml:space="preserve">Pre-ASP WAC benchmark; OPPS pass-through active; ASP available; OPPS non-pass-through; manual pricing; commercial contracted; Medicaid-specific; white-bagged/no drug reimbursement.</t>
  </si>
  <si>
    <t xml:space="preserve">Hard rule</t>
  </si>
  <si>
    <t xml:space="preserve">Pass-through active is not coding status.</t>
  </si>
  <si>
    <t xml:space="preserve">Pass-through is a payment state, not a product coding state.</t>
  </si>
  <si>
    <t xml:space="preserve">Do not conflate C-codes/HCPCS/NOC with pass-through/payment methodology.</t>
  </si>
  <si>
    <t xml:space="preserve">Medicare branch</t>
  </si>
  <si>
    <t xml:space="preserve">Branch logic</t>
  </si>
  <si>
    <t xml:space="preserve">103% WAC is not applied universally.</t>
  </si>
  <si>
    <t xml:space="preserve">Commercial branch</t>
  </si>
  <si>
    <t xml:space="preserve">Use payer-specific allowed amount or provider-entered contract terms.</t>
  </si>
  <si>
    <t xml:space="preserve">Medicaid branch</t>
  </si>
  <si>
    <t xml:space="preserve">MCO does not assume FFS logic.</t>
  </si>
  <si>
    <t xml:space="preserve">Site and Channel</t>
  </si>
  <si>
    <t xml:space="preserve">Site, payer, 340B, Medicaid, and sourcing branches.</t>
  </si>
  <si>
    <t xml:space="preserve">Scenario driver</t>
  </si>
  <si>
    <t xml:space="preserve">Must match authorized site of care.</t>
  </si>
  <si>
    <t xml:space="preserve">COE, pediatric specialty hospital, academic center, community site.</t>
  </si>
  <si>
    <t xml:space="preserve">Eligibility must be site and billing-entity specific.</t>
  </si>
  <si>
    <t xml:space="preserve">Commercial, Medicaid FFS, Medicaid MCO, Medicare, or other.</t>
  </si>
  <si>
    <t xml:space="preserve">Must match authorized sourcing pathway.</t>
  </si>
  <si>
    <t xml:space="preserve">White-bagging rule</t>
  </si>
  <si>
    <t xml:space="preserve">White-bagging reduces inventory exposure but limits/no drug spread.</t>
  </si>
  <si>
    <t xml:space="preserve">340B caveat</t>
  </si>
  <si>
    <t xml:space="preserve">340B acquisition values are illustrative unless site-verified. This model does not guarantee 340B eligibility, 340B ceiling price, sub-ceiling price, provider acquisition cost, payer-recognized payment basis, or payer reimbursement outcome.</t>
  </si>
  <si>
    <t xml:space="preserve">Required caveat</t>
  </si>
  <si>
    <t xml:space="preserve">Display when a 340B acquisition assumption is used.</t>
  </si>
  <si>
    <t xml:space="preserve">Operating Burden</t>
  </si>
  <si>
    <t xml:space="preserve">Claim-friction, staffing, billing, and timing burden.</t>
  </si>
  <si>
    <t xml:space="preserve">Pharmacy handling cost</t>
  </si>
  <si>
    <t xml:space="preserve">Per administration.</t>
  </si>
  <si>
    <t xml:space="preserve">Labor/admin cost</t>
  </si>
  <si>
    <t xml:space="preserve">Billing/revenue-cycle cost</t>
  </si>
  <si>
    <t xml:space="preserve">Operating Burden per Dose</t>
  </si>
  <si>
    <t xml:space="preserve">Pharmacy handling + labor/admin + billing/revenue-cycle cost.</t>
  </si>
  <si>
    <t xml:space="preserve">Post-service claim denial, not PA denial.</t>
  </si>
  <si>
    <t xml:space="preserve">Claim appeal recovery only.</t>
  </si>
  <si>
    <t xml:space="preserve">Cash-flow timing burden.</t>
  </si>
  <si>
    <t xml:space="preserve">Used only for financing drag.</t>
  </si>
  <si>
    <t xml:space="preserve">Expected Claim Denial Drag</t>
  </si>
  <si>
    <t xml:space="preserve">Gross recovery x claim denial rate x unrecovered share.</t>
  </si>
  <si>
    <t xml:space="preserve">Financing Drag</t>
  </si>
  <si>
    <t xml:space="preserve">Acquisition cost x financing rate x days to payment / 365.</t>
  </si>
  <si>
    <t xml:space="preserve">Payer Controls and Authorization Gate</t>
  </si>
  <si>
    <t xml:space="preserve">PA approval and scope match are hard prerequisites before economics calculate.</t>
  </si>
  <si>
    <t xml:space="preserve">Input / Check</t>
  </si>
  <si>
    <t xml:space="preserve">Required</t>
  </si>
  <si>
    <t xml:space="preserve">PA status</t>
  </si>
  <si>
    <t xml:space="preserve">Approved</t>
  </si>
  <si>
    <t xml:space="preserve">Not started, Submitted/pending, Denied/appeal, Approved, Reauthorization approved, Reauthorization pending.</t>
  </si>
  <si>
    <t xml:space="preserve">Approval type</t>
  </si>
  <si>
    <t xml:space="preserve">Initial approval or reauthorization approval.</t>
  </si>
  <si>
    <t xml:space="preserve">Approval start date</t>
  </si>
  <si>
    <t xml:space="preserve">Used to calculate authorized treatment window.</t>
  </si>
  <si>
    <t xml:space="preserve">Approval end date</t>
  </si>
  <si>
    <t xml:space="preserve">Must not be expired.</t>
  </si>
  <si>
    <t xml:space="preserve">Authorized number of doses</t>
  </si>
  <si>
    <t xml:space="preserve">Limits annualized economics when authorization is partial-year.</t>
  </si>
  <si>
    <t xml:space="preserve">Authorized dose</t>
  </si>
  <si>
    <t xml:space="preserve">Must equal modeled dose.</t>
  </si>
  <si>
    <t xml:space="preserve">Authorized frequency</t>
  </si>
  <si>
    <t xml:space="preserve">Must equal modeled frequency.</t>
  </si>
  <si>
    <t xml:space="preserve">Authorized site of care</t>
  </si>
  <si>
    <t xml:space="preserve">Must equal modeled site of care.</t>
  </si>
  <si>
    <t xml:space="preserve">Authorized sourcing pathway</t>
  </si>
  <si>
    <t xml:space="preserve">Must equal modeled sourcing pathway.</t>
  </si>
  <si>
    <t xml:space="preserve">Approval reference number</t>
  </si>
  <si>
    <t xml:space="preserve">Provider-entered</t>
  </si>
  <si>
    <t xml:space="preserve">Useful for documentation but not required for calculation.</t>
  </si>
  <si>
    <t xml:space="preserve">Payer SOC confirmed</t>
  </si>
  <si>
    <t xml:space="preserve">Flags site-of-care restriction risk if not confirmed.</t>
  </si>
  <si>
    <t xml:space="preserve">Payer sourcing restriction confirmed</t>
  </si>
  <si>
    <t xml:space="preserve">Flags white-bagging/specialty pharmacy risk if not confirmed.</t>
  </si>
  <si>
    <t xml:space="preserve">Specialist requirement confirmed</t>
  </si>
  <si>
    <t xml:space="preserve">Documentation risk if not confirmed.</t>
  </si>
  <si>
    <t xml:space="preserve">Baseline documentation confirmed</t>
  </si>
  <si>
    <t xml:space="preserve">Initial approval/reauthorization risk if not confirmed.</t>
  </si>
  <si>
    <t xml:space="preserve">Continuation endpoint defined</t>
  </si>
  <si>
    <t xml:space="preserve">Reauthorization risk if not defined.</t>
  </si>
  <si>
    <t xml:space="preserve">NDC</t>
  </si>
  <si>
    <t xml:space="preserve">Yes for Medicaid</t>
  </si>
  <si>
    <t xml:space="preserve">Required for Medicaid PAD logic where applicable.</t>
  </si>
  <si>
    <t xml:space="preserve">11-digit NDC format confirmed</t>
  </si>
  <si>
    <t xml:space="preserve">Provider validation checkbox.</t>
  </si>
  <si>
    <t xml:space="preserve">Unit of measure</t>
  </si>
  <si>
    <t xml:space="preserve">Must align with claim requirements.</t>
  </si>
  <si>
    <t xml:space="preserve">Quantity administered</t>
  </si>
  <si>
    <t xml:space="preserve">Required for claim integrity.</t>
  </si>
  <si>
    <t xml:space="preserve">UB-04/837I or CMS-1500/837P based on site.</t>
  </si>
  <si>
    <t xml:space="preserve">340B carve-in/carve-out</t>
  </si>
  <si>
    <t xml:space="preserve">If 340B + Medicaid</t>
  </si>
  <si>
    <t xml:space="preserve">Required for duplicate-discount risk assessment.</t>
  </si>
  <si>
    <t xml:space="preserve">Medicaid Exclusion File status</t>
  </si>
  <si>
    <t xml:space="preserve">Provider validation required</t>
  </si>
  <si>
    <t xml:space="preserve">Prompt</t>
  </si>
  <si>
    <t xml:space="preserve">Provider validation required where relevant.</t>
  </si>
  <si>
    <t xml:space="preserve">MCO plan-specific policy confirmed</t>
  </si>
  <si>
    <t xml:space="preserve">Yes for Medicaid MCO</t>
  </si>
  <si>
    <t xml:space="preserve">Do not assume FFS rules.</t>
  </si>
  <si>
    <t xml:space="preserve">340B eligibility confirmed</t>
  </si>
  <si>
    <t xml:space="preserve">If 340B used</t>
  </si>
  <si>
    <t xml:space="preserve">Must be site and billing-entity specific.</t>
  </si>
  <si>
    <t xml:space="preserve">340B applies to service location</t>
  </si>
  <si>
    <t xml:space="preserve">Do not assume entity-level eligibility applies to all services.</t>
  </si>
  <si>
    <t xml:space="preserve">340B acquisition assumption type</t>
  </si>
  <si>
    <t xml:space="preserve">Internal planning assumption</t>
  </si>
  <si>
    <t xml:space="preserve">Site-verified, internal planning assumption, or unknown.</t>
  </si>
  <si>
    <t xml:space="preserve">Medicaid duplicate-discount risk resolved</t>
  </si>
  <si>
    <t xml:space="preserve">If Medicaid + 340B</t>
  </si>
  <si>
    <t xml:space="preserve">If unresolved, output is Not modellable.</t>
  </si>
  <si>
    <t xml:space="preserve">JW/JZ wastage handling confirmed</t>
  </si>
  <si>
    <t xml:space="preserve">No - provider validation required</t>
  </si>
  <si>
    <t xml:space="preserve">Claim-documentation risk only; does not prescribe billing.</t>
  </si>
  <si>
    <t xml:space="preserve">PA gate message</t>
  </si>
  <si>
    <t xml:space="preserve">PA approved for calculation?</t>
  </si>
  <si>
    <t xml:space="preserve">Approval scope match?</t>
  </si>
  <si>
    <t xml:space="preserve">Scope warning</t>
  </si>
  <si>
    <t xml:space="preserve">Medicaid/PAD fields complete?</t>
  </si>
  <si>
    <t xml:space="preserve">340B duplicate-discount resolved?</t>
  </si>
  <si>
    <t xml:space="preserve">Readiness status</t>
  </si>
  <si>
    <t xml:space="preserve">Modellable?</t>
  </si>
  <si>
    <t xml:space="preserve">Authorization window label</t>
  </si>
  <si>
    <t xml:space="preserve">Calculator</t>
  </si>
  <si>
    <t xml:space="preserve">Transparent formulas and audit trail.</t>
  </si>
  <si>
    <t xml:space="preserve">Metric</t>
  </si>
  <si>
    <t xml:space="preserve">Formula / Source</t>
  </si>
  <si>
    <t xml:space="preserve">Authorization gate</t>
  </si>
  <si>
    <t xml:space="preserve">Economics suppress unless modellable.</t>
  </si>
  <si>
    <t xml:space="preserve">TRUE only after PA approval, scope match, Medicaid/PAD, and duplicate-discount checks pass.</t>
  </si>
  <si>
    <t xml:space="preserve">WAC x vials</t>
  </si>
  <si>
    <t xml:space="preserve">Formula required by spec.</t>
  </si>
  <si>
    <t xml:space="preserve">Scenario-specific acquisition basis</t>
  </si>
  <si>
    <t xml:space="preserve">Zero if white-bagging/SP branch.</t>
  </si>
  <si>
    <t xml:space="preserve">Drug Reimbursement per Dose</t>
  </si>
  <si>
    <t xml:space="preserve">Scenario-specific payment method</t>
  </si>
  <si>
    <t xml:space="preserve">103% WAC only in S08 branch.</t>
  </si>
  <si>
    <t xml:space="preserve">Administration Revenue per Dose</t>
  </si>
  <si>
    <t xml:space="preserve">Procedure/Admin + other services</t>
  </si>
  <si>
    <t xml:space="preserve">User-entered or approved benchmark.</t>
  </si>
  <si>
    <t xml:space="preserve">Drug + admin revenue</t>
  </si>
  <si>
    <t xml:space="preserve">Pharmacy + labor + billing cost</t>
  </si>
  <si>
    <t xml:space="preserve">Gross recovery x claim denial x unrecovered share</t>
  </si>
  <si>
    <t xml:space="preserve">Claim denial, not PA denial.</t>
  </si>
  <si>
    <t xml:space="preserve">Acquisition x financing rate x days/365</t>
  </si>
  <si>
    <t xml:space="preserve">Timing burden.</t>
  </si>
  <si>
    <t xml:space="preserve">Net Recovery per Dose</t>
  </si>
  <si>
    <t xml:space="preserve">Gross recovery less cost and drag</t>
  </si>
  <si>
    <t xml:space="preserve">Estimated surplus/shortfall under stated assumptions.</t>
  </si>
  <si>
    <t xml:space="preserve">Authorized Administrations</t>
  </si>
  <si>
    <t xml:space="preserve">min(admins/year, authorized doses)</t>
  </si>
  <si>
    <t xml:space="preserve">Annualized output limited by approved window.</t>
  </si>
  <si>
    <t xml:space="preserve">Annual Gross Drug Exposure</t>
  </si>
  <si>
    <t xml:space="preserve">Per-dose x authorized administrations</t>
  </si>
  <si>
    <t xml:space="preserve">Annual Acquisition Cost</t>
  </si>
  <si>
    <t xml:space="preserve">Annual Gross Recovery</t>
  </si>
  <si>
    <t xml:space="preserve">Annual Operating Burden</t>
  </si>
  <si>
    <t xml:space="preserve">Annual Claim Denial Drag</t>
  </si>
  <si>
    <t xml:space="preserve">Annual Financing Drag</t>
  </si>
  <si>
    <t xml:space="preserve">Annual Net Recovery</t>
  </si>
  <si>
    <t xml:space="preserve">If partial-year, label projection through approved window.</t>
  </si>
  <si>
    <t xml:space="preserve">Projection label</t>
  </si>
  <si>
    <t xml:space="preserve">Authorization window rule</t>
  </si>
  <si>
    <t xml:space="preserve">Do not present partial authorization as full-year recovery unless confirmed.</t>
  </si>
  <si>
    <t xml:space="preserve">Adrabetadex Provider Net Cost Recovery Summary</t>
  </si>
  <si>
    <t xml:space="preserve">Final ARM v1.0</t>
  </si>
  <si>
    <t xml:space="preserve">Scenario summary</t>
  </si>
  <si>
    <t xml:space="preserve">Site</t>
  </si>
  <si>
    <t xml:space="preserve">Payer</t>
  </si>
  <si>
    <t xml:space="preserve">Sourcing</t>
  </si>
  <si>
    <t xml:space="preserve">Coding status</t>
  </si>
  <si>
    <t xml:space="preserve">Scope match</t>
  </si>
  <si>
    <t xml:space="preserve">Per-dose economics</t>
  </si>
  <si>
    <t xml:space="preserve">WAC exposure</t>
  </si>
  <si>
    <t xml:space="preserve">Admin revenue</t>
  </si>
  <si>
    <t xml:space="preserve">Operating burden</t>
  </si>
  <si>
    <t xml:space="preserve">Denial/timing drag</t>
  </si>
  <si>
    <t xml:space="preserve">Net recovery</t>
  </si>
  <si>
    <t xml:space="preserve">Active override</t>
  </si>
  <si>
    <t xml:space="preserve">Authorized-window economics</t>
  </si>
  <si>
    <t xml:space="preserve">Authorized doses</t>
  </si>
  <si>
    <t xml:space="preserve">Approval dates</t>
  </si>
  <si>
    <t xml:space="preserve">Net recovery through approved window</t>
  </si>
  <si>
    <t xml:space="preserve">Risk flags</t>
  </si>
  <si>
    <t xml:space="preserve">Recovery</t>
  </si>
  <si>
    <t xml:space="preserve">Cash exposure</t>
  </si>
  <si>
    <t xml:space="preserve">Coding/payment</t>
  </si>
  <si>
    <t xml:space="preserve">Payer control</t>
  </si>
  <si>
    <t xml:space="preserve">Medicaid/PAD</t>
  </si>
  <si>
    <t xml:space="preserve">Required caveats</t>
  </si>
  <si>
    <t xml:space="preserve">Policy and Assumption Source Register</t>
  </si>
  <si>
    <t xml:space="preserve">Source dates, owners, and field-use restrictions.</t>
  </si>
  <si>
    <t xml:space="preserve">Assumption ID</t>
  </si>
  <si>
    <t xml:space="preserve">Assumption name</t>
  </si>
  <si>
    <t xml:space="preserve">Category</t>
  </si>
  <si>
    <t xml:space="preserve">Source URL</t>
  </si>
  <si>
    <t xml:space="preserve">Source date</t>
  </si>
  <si>
    <t xml:space="preserve">Last reviewed</t>
  </si>
  <si>
    <t xml:space="preserve">Owner</t>
  </si>
  <si>
    <t xml:space="preserve">Field-use restriction</t>
  </si>
  <si>
    <t xml:space="preserve">SRC-001</t>
  </si>
  <si>
    <t xml:space="preserve">HCPCS identifies items and services, not coverage/payment</t>
  </si>
  <si>
    <t xml:space="preserve">Coding status is separated from payment status.</t>
  </si>
  <si>
    <t xml:space="preserve">policy-backed rule</t>
  </si>
  <si>
    <t xml:space="preserve">CMS HCPCS Level II Coding Procedures</t>
  </si>
  <si>
    <t xml:space="preserve">https://www.cms.gov/medicare/coding/medhcpcsgeninfo/hcpcscodingprocess.html</t>
  </si>
  <si>
    <t xml:space="preserve">Page modified 2026-02-19; accessed 2026-05-02</t>
  </si>
  <si>
    <t xml:space="preserve">2026-05-02</t>
  </si>
  <si>
    <t xml:space="preserve">Reimbursement strategy owner</t>
  </si>
  <si>
    <t xml:space="preserve">ARM-facing</t>
  </si>
  <si>
    <t xml:space="preserve">SRC-002</t>
  </si>
  <si>
    <t xml:space="preserve">HCPCS quarterly drug/biological coding cycle</t>
  </si>
  <si>
    <t xml:space="preserve">Drug and biological code applications follow quarterly CMS review cycles.</t>
  </si>
  <si>
    <t xml:space="preserve">CMS HCPCS Level II Coding Decisions</t>
  </si>
  <si>
    <t xml:space="preserve">https://www.cms.gov/medicare/coding-billing/healthcare-common-procedure-system/current-prior-years-level-ii-coding-decisions</t>
  </si>
  <si>
    <t xml:space="preserve">Accessed 2026-05-02</t>
  </si>
  <si>
    <t xml:space="preserve">SRC-003</t>
  </si>
  <si>
    <t xml:space="preserve">OPPS pass-through is a payment pathway</t>
  </si>
  <si>
    <t xml:space="preserve">Pass-through status is modeled as payment status, not product coding status.</t>
  </si>
  <si>
    <t xml:space="preserve">CMS Pass-Through Payment Status and New Technology APC</t>
  </si>
  <si>
    <t xml:space="preserve">https://www.cms.gov/Medicare/Medicare-Fee-for-Service-Payment/HospitalOutpatientPPS/passthrough_payment.html</t>
  </si>
  <si>
    <t xml:space="preserve">SRC-004</t>
  </si>
  <si>
    <t xml:space="preserve">Medicare Part B ASP/WAC branches</t>
  </si>
  <si>
    <t xml:space="preserve">ASP is primary for many Part B drugs; WAC may be used when ASP is unavailable.</t>
  </si>
  <si>
    <t xml:space="preserve">CMS Part B Drugs and Biologicals</t>
  </si>
  <si>
    <t xml:space="preserve">https://www.cms.gov/cms-guide-medical-technology-companies-and-other-interested-parties/payment/part-b-drugs</t>
  </si>
  <si>
    <t xml:space="preserve">Page updated 2026-03-10; accessed 2026-05-02</t>
  </si>
  <si>
    <t xml:space="preserve">SRC-005</t>
  </si>
  <si>
    <t xml:space="preserve">ASP pricing file caveat</t>
  </si>
  <si>
    <t xml:space="preserve">Presence or absence in CMS ASP files does not itself indicate coverage.</t>
  </si>
  <si>
    <t xml:space="preserve">CMS ASP Pricing Files</t>
  </si>
  <si>
    <t xml:space="preserve">https://www.cms.gov/medicare/payment/part-b-drugs/asp-pricing-files</t>
  </si>
  <si>
    <t xml:space="preserve">SRC-006</t>
  </si>
  <si>
    <t xml:space="preserve">Medicaid PAD NDC/utilization requirements</t>
  </si>
  <si>
    <t xml:space="preserve">Medicaid PAD branches require NDC and utilization fields where applicable.</t>
  </si>
  <si>
    <t xml:space="preserve">Medicaid.gov Physician Administered Drugs</t>
  </si>
  <si>
    <t xml:space="preserve">https://www.medicaid.gov/medicaid/prescription-drugs/state-prescription-drug-resources/physician-administered-drugs-pad</t>
  </si>
  <si>
    <t xml:space="preserve">Page updated 2022-10-20; accessed 2026-05-02</t>
  </si>
  <si>
    <t xml:space="preserve">Medicaid policy owner</t>
  </si>
  <si>
    <t xml:space="preserve">SRC-007</t>
  </si>
  <si>
    <t xml:space="preserve">MDRP 11-digit NDC data structure</t>
  </si>
  <si>
    <t xml:space="preserve">MDRP product and AMP files identify products using 11-digit NDCs.</t>
  </si>
  <si>
    <t xml:space="preserve">Medicaid.gov MDRP Data</t>
  </si>
  <si>
    <t xml:space="preserve">https://www.medicaid.gov/medicaid/prescription-drugs/medicaid-drug-rebate-program/medicaid-drug-rebate-program-data</t>
  </si>
  <si>
    <t xml:space="preserve">Page updated 2026-04-13; accessed 2026-05-02</t>
  </si>
  <si>
    <t xml:space="preserve">SRC-008</t>
  </si>
  <si>
    <t xml:space="preserve">340B duplicate-discount prohibition</t>
  </si>
  <si>
    <t xml:space="preserve">Medicaid + 340B scenarios require duplicate-discount resolution before clean output.</t>
  </si>
  <si>
    <t xml:space="preserve">HRSA Duplicate Discount Prohibition</t>
  </si>
  <si>
    <t xml:space="preserve">https://www.hrsa.gov/opa/program-requirements/medicaid-exclusion</t>
  </si>
  <si>
    <t xml:space="preserve">340B/compliance owner</t>
  </si>
  <si>
    <t xml:space="preserve">SRC-009</t>
  </si>
  <si>
    <t xml:space="preserve">340B Medicaid Exclusion File applies to FFS</t>
  </si>
  <si>
    <t xml:space="preserve">MEF logic is not assumed to resolve Medicaid MCO plan requirements.</t>
  </si>
  <si>
    <t xml:space="preserve">HRSA Medicaid Exclusion File help</t>
  </si>
  <si>
    <t xml:space="preserve">https://340bregistration.hrsa.gov/help/Manufacturer/Reports/MedicaidExclusionFile.htm</t>
  </si>
  <si>
    <t xml:space="preserve">MOD-001</t>
  </si>
  <si>
    <t xml:space="preserve">Adrabetadex launch WAC per vial</t>
  </si>
  <si>
    <t xml:space="preserve">$39,000 per 900 mg vial</t>
  </si>
  <si>
    <t xml:space="preserve">planning assumption</t>
  </si>
  <si>
    <t xml:space="preserve">Market access owner</t>
  </si>
  <si>
    <t xml:space="preserve">Internal only</t>
  </si>
  <si>
    <t xml:space="preserve">MOD-002</t>
  </si>
  <si>
    <t xml:space="preserve">Primary 340B acquisition assumption</t>
  </si>
  <si>
    <t xml:space="preserve">Primary 23.1% planning assumption; site verification required</t>
  </si>
  <si>
    <t xml:space="preserve">Internal/ARM-facing</t>
  </si>
  <si>
    <t xml:space="preserve">Validation Test Cases</t>
  </si>
  <si>
    <t xml:space="preserve">Minimum gate and scenario-engine tests for go/no-go.</t>
  </si>
  <si>
    <t xml:space="preserve">Test ID</t>
  </si>
  <si>
    <t xml:space="preserve">Scenario</t>
  </si>
  <si>
    <t xml:space="preserve">Expected Result</t>
  </si>
  <si>
    <t xml:space="preserve">Validation Method</t>
  </si>
  <si>
    <t xml:space="preserve">Status</t>
  </si>
  <si>
    <t xml:space="preserve">T01</t>
  </si>
  <si>
    <t xml:space="preserve">PA not started</t>
  </si>
  <si>
    <t xml:space="preserve">Economics suppressed.</t>
  </si>
  <si>
    <t xml:space="preserve">Python validation + workbook inspection</t>
  </si>
  <si>
    <t xml:space="preserve">Run validate script</t>
  </si>
  <si>
    <t xml:space="preserve">PA gate message required.</t>
  </si>
  <si>
    <t xml:space="preserve">T02</t>
  </si>
  <si>
    <t xml:space="preserve">PA pending</t>
  </si>
  <si>
    <t xml:space="preserve">Submitted/pending status.</t>
  </si>
  <si>
    <t xml:space="preserve">T03</t>
  </si>
  <si>
    <t xml:space="preserve">PA denied/appeal</t>
  </si>
  <si>
    <t xml:space="preserve">Access workflow status, not economics.</t>
  </si>
  <si>
    <t xml:space="preserve">T04</t>
  </si>
  <si>
    <t xml:space="preserve">PA approved, full scope match</t>
  </si>
  <si>
    <t xml:space="preserve">Economics calculated.</t>
  </si>
  <si>
    <t xml:space="preserve">Default S01.</t>
  </si>
  <si>
    <t xml:space="preserve">T05</t>
  </si>
  <si>
    <t xml:space="preserve">PA approved, site-of-care mismatch</t>
  </si>
  <si>
    <t xml:space="preserve">Economics suppressed with warning.</t>
  </si>
  <si>
    <t xml:space="preserve">Authorized site differs.</t>
  </si>
  <si>
    <t xml:space="preserve">T06</t>
  </si>
  <si>
    <t xml:space="preserve">PA approved, sourcing mismatch</t>
  </si>
  <si>
    <t xml:space="preserve">Authorized sourcing differs.</t>
  </si>
  <si>
    <t xml:space="preserve">T07</t>
  </si>
  <si>
    <t xml:space="preserve">PA approved, partial-year authorization</t>
  </si>
  <si>
    <t xml:space="preserve">Output limited to authorized doses; full-year projection labeled.</t>
  </si>
  <si>
    <t xml:space="preserve">Authorized doses less than annual administrations.</t>
  </si>
  <si>
    <t xml:space="preserve">T08</t>
  </si>
  <si>
    <t xml:space="preserve">Medicaid FFS + missing NDC</t>
  </si>
  <si>
    <t xml:space="preserve">Medicaid economics suppressed or high-risk/not-modellable flag.</t>
  </si>
  <si>
    <t xml:space="preserve">NDC missing.</t>
  </si>
  <si>
    <t xml:space="preserve">T09</t>
  </si>
  <si>
    <t xml:space="preserve">Medicaid + 340B + duplicate-discount unresolved</t>
  </si>
  <si>
    <t xml:space="preserve">Clean output suppressed or high-risk/not-modellable flag.</t>
  </si>
  <si>
    <t xml:space="preserve">Duplicate discount unresolved.</t>
  </si>
  <si>
    <t xml:space="preserve">T10</t>
  </si>
  <si>
    <t xml:space="preserve">White-bagging scenario</t>
  </si>
  <si>
    <t xml:space="preserve">Drug spread set to zero or payer-specific value.</t>
  </si>
  <si>
    <t xml:space="preserve">S05 branch.</t>
  </si>
  <si>
    <t xml:space="preserve">T11</t>
  </si>
  <si>
    <t xml:space="preserve">Manual override active</t>
  </si>
  <si>
    <t xml:space="preserve">Output visibly flags active override.</t>
  </si>
  <si>
    <t xml:space="preserve">Workbook active source formula.</t>
  </si>
  <si>
    <t xml:space="preserve">T12</t>
  </si>
  <si>
    <t xml:space="preserve">Scenario selector changed</t>
  </si>
  <si>
    <t xml:space="preserve">All dependent assumptions update from the single scenario ID.</t>
  </si>
  <si>
    <t xml:space="preserve">Scenario Engine uses B4 only.</t>
  </si>
  <si>
    <t xml:space="preserve">T13</t>
  </si>
  <si>
    <t xml:space="preserve">Medicare physician office pre-ASP</t>
  </si>
  <si>
    <t xml:space="preserve">103% WAC branch used only in this appropriate scenario.</t>
  </si>
  <si>
    <t xml:space="preserve">S08 only.</t>
  </si>
  <si>
    <t xml:space="preserve">T14</t>
  </si>
  <si>
    <t xml:space="preserve">HOPD pass-through scenario</t>
  </si>
  <si>
    <t xml:space="preserve">OPPS pass-through branch used only if payment status is pass-through active.</t>
  </si>
  <si>
    <t xml:space="preserve">S01 branch.</t>
  </si>
</sst>
</file>

<file path=xl/styles.xml><?xml version="1.0" encoding="utf-8"?>
<styleSheet xmlns="http://schemas.openxmlformats.org/spreadsheetml/2006/main">
  <numFmts count="5">
    <numFmt numFmtId="164" formatCode="General"/>
    <numFmt numFmtId="165" formatCode="\$#,##0"/>
    <numFmt numFmtId="166" formatCode="0.0%"/>
    <numFmt numFmtId="167" formatCode="yyyy\-mm\-dd"/>
    <numFmt numFmtId="168" formatCode="0"/>
  </numFmts>
  <fonts count="9">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i val="true"/>
      <sz val="10"/>
      <color rgb="FF1F4E78"/>
      <name val="Cambria"/>
      <family val="0"/>
      <charset val="1"/>
    </font>
    <font>
      <b val="true"/>
      <sz val="11"/>
      <color rgb="FF1F4E78"/>
      <name val="Cambria"/>
      <family val="0"/>
      <charset val="1"/>
    </font>
    <font>
      <b val="true"/>
      <sz val="11"/>
      <name val="Cambria"/>
      <family val="0"/>
      <charset val="1"/>
    </font>
    <font>
      <b val="true"/>
      <sz val="11"/>
      <color rgb="FFFFFFFF"/>
      <name val="Cambria"/>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E2F0D9"/>
        <bgColor rgb="FFD9E2F3"/>
      </patternFill>
    </fill>
  </fills>
  <borders count="2">
    <border diagonalUp="false" diagonalDown="false">
      <left/>
      <right/>
      <top/>
      <bottom/>
      <diagonal/>
    </border>
    <border diagonalUp="false" diagonalDown="false">
      <left style="thin">
        <color rgb="FFD9E2F3"/>
      </left>
      <right style="thin">
        <color rgb="FFD9E2F3"/>
      </right>
      <top style="thin">
        <color rgb="FFD9E2F3"/>
      </top>
      <bottom style="thin">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true">
      <alignment horizontal="general" vertical="bottom" textRotation="0" wrapText="false" indent="0" shrinkToFit="false"/>
      <protection locked="false" hidden="false"/>
    </xf>
    <xf numFmtId="164" fontId="0" fillId="3" borderId="1" xfId="0" applyFont="false" applyBorder="true" applyAlignment="true" applyProtection="true">
      <alignment horizontal="general" vertical="top" textRotation="0" wrapText="true" indent="0" shrinkToFit="false"/>
      <protection locked="false" hidden="false"/>
    </xf>
    <xf numFmtId="165" fontId="0" fillId="0" borderId="1" xfId="0" applyFont="fals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true">
      <alignment horizontal="general" vertical="top" textRotation="0" wrapText="true" indent="0" shrinkToFit="false"/>
      <protection locked="false" hidden="false"/>
    </xf>
    <xf numFmtId="167" fontId="0" fillId="3" borderId="1" xfId="0" applyFont="false" applyBorder="true" applyAlignment="true" applyProtection="true">
      <alignment horizontal="general" vertical="top" textRotation="0" wrapText="true" indent="0" shrinkToFit="false"/>
      <protection locked="fals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0" fillId="4" borderId="1" xfId="0" applyFont="false" applyBorder="true" applyAlignment="true" applyProtection="false">
      <alignment horizontal="general" vertical="top" textRotation="0" wrapText="true" indent="0" shrinkToFit="false"/>
      <protection locked="true" hidden="false"/>
    </xf>
    <xf numFmtId="168" fontId="0" fillId="0"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ables/table1.xml><?xml version="1.0" encoding="utf-8"?>
<table xmlns="http://schemas.openxmlformats.org/spreadsheetml/2006/main" id="1" name="ScenarioLibrary" displayName="ScenarioLibrary" ref="A34:AG42" headerRowCount="1" totalsRowCount="0" totalsRowShown="0">
  <autoFilter ref="A34:AG42"/>
  <tableColumns count="33">
    <tableColumn id="1" name="Scenario ID"/>
    <tableColumn id="2" name="Scenario Name"/>
    <tableColumn id="3" name="Purpose"/>
    <tableColumn id="4" name="Site of care"/>
    <tableColumn id="5" name="Site profile"/>
    <tableColumn id="6" name="340B status"/>
    <tableColumn id="7" name="Payer type"/>
    <tableColumn id="8" name="Sourcing pathway"/>
    <tableColumn id="9" name="Product coding status"/>
    <tableColumn id="10" name="Payment status"/>
    <tableColumn id="11" name="Authorization type"/>
    <tableColumn id="12" name="Modeled dose"/>
    <tableColumn id="13" name="Modeled frequency"/>
    <tableColumn id="14" name="Administrations per year"/>
    <tableColumn id="15" name="Acquisition basis"/>
    <tableColumn id="16" name="Payer payment method"/>
    <tableColumn id="17" name="Claim type"/>
    <tableColumn id="18" name="Medicaid LOB"/>
    <tableColumn id="19" name="340B treatment"/>
    <tableColumn id="20" name="Allowed drug reimbursement"/>
    <tableColumn id="21" name="Acquisition cost"/>
    <tableColumn id="22" name="Procedure/admin revenue"/>
    <tableColumn id="23" name="Other services"/>
    <tableColumn id="24" name="Pharmacy handling"/>
    <tableColumn id="25" name="Labor/admin"/>
    <tableColumn id="26" name="Billing/revenue-cycle"/>
    <tableColumn id="27" name="Claim denial rate"/>
    <tableColumn id="28" name="Appeal recovery rate"/>
    <tableColumn id="29" name="Days to payment"/>
    <tableColumn id="30" name="Financing rate"/>
    <tableColumn id="31" name="WAC per vial"/>
    <tableColumn id="32" name="Vial size mg"/>
    <tableColumn id="33" name="Scenario note"/>
  </tableColumns>
</table>
</file>

<file path=xl/tables/table2.xml><?xml version="1.0" encoding="utf-8"?>
<table xmlns="http://schemas.openxmlformats.org/spreadsheetml/2006/main" id="2" name="SourceRegister" displayName="SourceRegister" ref="A3:J14" headerRowCount="1" totalsRowCount="0" totalsRowShown="0">
  <autoFilter ref="A3:J14"/>
  <tableColumns count="10">
    <tableColumn id="1" name="Assumption ID"/>
    <tableColumn id="2" name="Assumption name"/>
    <tableColumn id="3" name="Value"/>
    <tableColumn id="4" name="Category"/>
    <tableColumn id="5" name="Source"/>
    <tableColumn id="6" name="Source URL"/>
    <tableColumn id="7" name="Source date"/>
    <tableColumn id="8" name="Last reviewed"/>
    <tableColumn id="9" name="Owner"/>
    <tableColumn id="10" name="Field-use restricti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2" topLeftCell="A2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34"/>
    <col collapsed="false" customWidth="true" hidden="false" outlineLevel="0" max="3" min="3" style="0" width="28"/>
    <col collapsed="false" customWidth="true" hidden="false" outlineLevel="0" max="4" min="4" style="0" width="38"/>
    <col collapsed="false" customWidth="true" hidden="false" outlineLevel="0" max="8" min="5" style="0" width="18"/>
  </cols>
  <sheetData>
    <row r="1" customFormat="false" ht="27.75" hidden="false" customHeight="true" outlineLevel="0" collapsed="false">
      <c r="A1" s="1" t="s">
        <v>0</v>
      </c>
      <c r="B1" s="1"/>
      <c r="C1" s="1"/>
      <c r="D1" s="1"/>
      <c r="E1" s="1"/>
      <c r="F1" s="1"/>
      <c r="G1" s="1"/>
      <c r="H1" s="1"/>
    </row>
    <row r="2" customFormat="false" ht="31.5" hidden="false" customHeight="true" outlineLevel="0" collapsed="false">
      <c r="A2" s="2" t="s">
        <v>1</v>
      </c>
      <c r="B2" s="2"/>
      <c r="C2" s="2"/>
      <c r="D2" s="2"/>
      <c r="E2" s="2"/>
      <c r="F2" s="2"/>
      <c r="G2" s="2"/>
      <c r="H2" s="2"/>
    </row>
    <row r="4" customFormat="false" ht="15" hidden="false" customHeight="true" outlineLevel="0" collapsed="false">
      <c r="A4" s="3" t="s">
        <v>2</v>
      </c>
      <c r="B4" s="4" t="s">
        <v>3</v>
      </c>
      <c r="C4" s="4"/>
      <c r="D4" s="4"/>
      <c r="E4" s="4"/>
      <c r="F4" s="4"/>
      <c r="G4" s="4"/>
      <c r="H4" s="4"/>
    </row>
    <row r="5" customFormat="false" ht="15" hidden="false" customHeight="false" outlineLevel="0" collapsed="false">
      <c r="B5" s="4"/>
      <c r="C5" s="4"/>
      <c r="D5" s="4"/>
      <c r="E5" s="4"/>
      <c r="F5" s="4"/>
      <c r="G5" s="4"/>
      <c r="H5" s="4"/>
    </row>
    <row r="6" customFormat="false" ht="15" hidden="false" customHeight="false" outlineLevel="0" collapsed="false">
      <c r="B6" s="4"/>
      <c r="C6" s="4"/>
      <c r="D6" s="4"/>
      <c r="E6" s="4"/>
      <c r="F6" s="4"/>
      <c r="G6" s="4"/>
      <c r="H6" s="4"/>
    </row>
    <row r="8" customFormat="false" ht="15" hidden="false" customHeight="true" outlineLevel="0" collapsed="false">
      <c r="A8" s="3" t="s">
        <v>4</v>
      </c>
      <c r="B8" s="4" t="s">
        <v>5</v>
      </c>
      <c r="C8" s="4"/>
      <c r="D8" s="4"/>
      <c r="E8" s="4"/>
      <c r="F8" s="4"/>
      <c r="G8" s="4"/>
      <c r="H8" s="4"/>
    </row>
    <row r="9" customFormat="false" ht="15" hidden="false" customHeight="false" outlineLevel="0" collapsed="false">
      <c r="B9" s="4"/>
      <c r="C9" s="4"/>
      <c r="D9" s="4"/>
      <c r="E9" s="4"/>
      <c r="F9" s="4"/>
      <c r="G9" s="4"/>
      <c r="H9" s="4"/>
    </row>
    <row r="10" customFormat="false" ht="15" hidden="false" customHeight="false" outlineLevel="0" collapsed="false">
      <c r="B10" s="4"/>
      <c r="C10" s="4"/>
      <c r="D10" s="4"/>
      <c r="E10" s="4"/>
      <c r="F10" s="4"/>
      <c r="G10" s="4"/>
      <c r="H10" s="4"/>
    </row>
    <row r="11" customFormat="false" ht="15" hidden="false" customHeight="false" outlineLevel="0" collapsed="false">
      <c r="B11" s="4"/>
      <c r="C11" s="4"/>
      <c r="D11" s="4"/>
      <c r="E11" s="4"/>
      <c r="F11" s="4"/>
      <c r="G11" s="4"/>
      <c r="H11" s="4"/>
    </row>
    <row r="13" customFormat="false" ht="15" hidden="false" customHeight="false" outlineLevel="0" collapsed="false">
      <c r="A13" s="3" t="s">
        <v>6</v>
      </c>
    </row>
    <row r="14" customFormat="false" ht="15" hidden="false" customHeight="false" outlineLevel="0" collapsed="false">
      <c r="A14" s="5" t="s">
        <v>7</v>
      </c>
      <c r="B14" s="6" t="s">
        <v>8</v>
      </c>
      <c r="C14" s="6"/>
      <c r="D14" s="6"/>
      <c r="E14" s="6"/>
      <c r="F14" s="6"/>
      <c r="G14" s="6"/>
      <c r="H14" s="6"/>
    </row>
    <row r="15" customFormat="false" ht="15" hidden="false" customHeight="false" outlineLevel="0" collapsed="false">
      <c r="A15" s="5" t="s">
        <v>9</v>
      </c>
      <c r="B15" s="6" t="s">
        <v>10</v>
      </c>
      <c r="C15" s="6"/>
      <c r="D15" s="6"/>
      <c r="E15" s="6"/>
      <c r="F15" s="6"/>
      <c r="G15" s="6"/>
      <c r="H15" s="6"/>
    </row>
    <row r="16" customFormat="false" ht="15" hidden="false" customHeight="false" outlineLevel="0" collapsed="false">
      <c r="A16" s="5" t="s">
        <v>11</v>
      </c>
      <c r="B16" s="6" t="s">
        <v>12</v>
      </c>
      <c r="C16" s="6"/>
      <c r="D16" s="6"/>
      <c r="E16" s="6"/>
      <c r="F16" s="6"/>
      <c r="G16" s="6"/>
      <c r="H16" s="6"/>
    </row>
    <row r="17" customFormat="false" ht="15" hidden="false" customHeight="false" outlineLevel="0" collapsed="false">
      <c r="A17" s="5" t="s">
        <v>13</v>
      </c>
      <c r="B17" s="6" t="s">
        <v>14</v>
      </c>
      <c r="C17" s="6"/>
      <c r="D17" s="6"/>
      <c r="E17" s="6"/>
      <c r="F17" s="6"/>
      <c r="G17" s="6"/>
      <c r="H17" s="6"/>
    </row>
    <row r="21" customFormat="false" ht="15" hidden="false" customHeight="false" outlineLevel="0" collapsed="false">
      <c r="A21" s="3" t="s">
        <v>15</v>
      </c>
    </row>
    <row r="23" customFormat="false" ht="15" hidden="false" customHeight="false" outlineLevel="0" collapsed="false">
      <c r="A23" s="7" t="s">
        <v>16</v>
      </c>
      <c r="B23" s="7" t="s">
        <v>17</v>
      </c>
      <c r="C23" s="7" t="s">
        <v>18</v>
      </c>
    </row>
    <row r="24" customFormat="false" ht="35.05" hidden="false" customHeight="false" outlineLevel="0" collapsed="false">
      <c r="A24" s="8" t="s">
        <v>19</v>
      </c>
      <c r="B24" s="8" t="s">
        <v>20</v>
      </c>
      <c r="C24" s="8" t="s">
        <v>21</v>
      </c>
    </row>
    <row r="25" customFormat="false" ht="23.85" hidden="false" customHeight="false" outlineLevel="0" collapsed="false">
      <c r="A25" s="8" t="s">
        <v>22</v>
      </c>
      <c r="B25" s="8" t="s">
        <v>23</v>
      </c>
      <c r="C25" s="8" t="s">
        <v>24</v>
      </c>
    </row>
    <row r="26" customFormat="false" ht="35.05" hidden="false" customHeight="false" outlineLevel="0" collapsed="false">
      <c r="A26" s="8" t="s">
        <v>25</v>
      </c>
      <c r="B26" s="8" t="s">
        <v>26</v>
      </c>
      <c r="C26" s="8" t="s">
        <v>27</v>
      </c>
    </row>
    <row r="27" customFormat="false" ht="35.05" hidden="false" customHeight="false" outlineLevel="0" collapsed="false">
      <c r="A27" s="8" t="s">
        <v>28</v>
      </c>
      <c r="B27" s="8" t="s">
        <v>29</v>
      </c>
      <c r="C27" s="8" t="s">
        <v>30</v>
      </c>
    </row>
    <row r="28" customFormat="false" ht="46.25" hidden="false" customHeight="false" outlineLevel="0" collapsed="false">
      <c r="A28" s="8" t="s">
        <v>31</v>
      </c>
      <c r="B28" s="8" t="s">
        <v>32</v>
      </c>
      <c r="C28" s="8" t="s">
        <v>33</v>
      </c>
    </row>
  </sheetData>
  <sheetProtection sheet="true" password="cc2a" selectUnlockedCells="true"/>
  <mergeCells count="8">
    <mergeCell ref="A1:H1"/>
    <mergeCell ref="A2:H2"/>
    <mergeCell ref="B4:H6"/>
    <mergeCell ref="B8:H11"/>
    <mergeCell ref="B14:H14"/>
    <mergeCell ref="B15:H15"/>
    <mergeCell ref="B16:H16"/>
    <mergeCell ref="B17:H1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3" topLeftCell="A3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3" min="1" style="0" width="28"/>
    <col collapsed="false" customWidth="true" hidden="false" outlineLevel="0" max="4" min="4" style="0" width="30"/>
    <col collapsed="false" customWidth="true" hidden="false" outlineLevel="0" max="5" min="5" style="0" width="24"/>
    <col collapsed="false" customWidth="true" hidden="false" outlineLevel="0" max="6" min="6" style="0" width="42"/>
    <col collapsed="false" customWidth="true" hidden="false" outlineLevel="0" max="7" min="7" style="0" width="18"/>
    <col collapsed="false" customWidth="true" hidden="false" outlineLevel="0" max="8" min="8" style="0" width="22"/>
    <col collapsed="false" customWidth="true" hidden="false" outlineLevel="0" max="10" min="9" style="0" width="28"/>
    <col collapsed="false" customWidth="true" hidden="false" outlineLevel="0" max="11" min="11" style="0" width="18"/>
    <col collapsed="false" customWidth="true" hidden="false" outlineLevel="0" max="12" min="12" style="0" width="16"/>
    <col collapsed="false" customWidth="true" hidden="false" outlineLevel="0" max="14" min="13" style="0" width="18"/>
    <col collapsed="false" customWidth="true" hidden="false" outlineLevel="0" max="16" min="15" style="0" width="22"/>
    <col collapsed="false" customWidth="true" hidden="false" outlineLevel="0" max="26" min="17" style="0" width="18"/>
    <col collapsed="false" customWidth="true" hidden="false" outlineLevel="0" max="32" min="27" style="0" width="14"/>
    <col collapsed="false" customWidth="true" hidden="false" outlineLevel="0" max="33" min="33" style="0" width="40"/>
  </cols>
  <sheetData>
    <row r="1" customFormat="false" ht="27.75" hidden="false" customHeight="true" outlineLevel="0" collapsed="false">
      <c r="A1" s="1" t="s">
        <v>34</v>
      </c>
      <c r="B1" s="1"/>
      <c r="C1" s="1"/>
      <c r="D1" s="1"/>
      <c r="E1" s="1"/>
      <c r="F1" s="1"/>
      <c r="G1" s="1"/>
      <c r="H1" s="1"/>
      <c r="I1" s="1"/>
      <c r="J1" s="1"/>
      <c r="K1" s="1"/>
      <c r="L1" s="1"/>
    </row>
    <row r="2" customFormat="false" ht="31.5" hidden="false" customHeight="true" outlineLevel="0" collapsed="false">
      <c r="A2" s="2" t="s">
        <v>35</v>
      </c>
      <c r="B2" s="2"/>
      <c r="C2" s="2"/>
      <c r="D2" s="2"/>
      <c r="E2" s="2"/>
      <c r="F2" s="2"/>
      <c r="G2" s="2"/>
      <c r="H2" s="2"/>
      <c r="I2" s="2"/>
      <c r="J2" s="2"/>
      <c r="K2" s="2"/>
      <c r="L2" s="2"/>
    </row>
    <row r="4" customFormat="false" ht="15" hidden="false" customHeight="false" outlineLevel="0" collapsed="false">
      <c r="A4" s="0" t="s">
        <v>36</v>
      </c>
      <c r="B4" s="9" t="s">
        <v>37</v>
      </c>
    </row>
    <row r="5" customFormat="false" ht="15" hidden="false" customHeight="false" outlineLevel="0" collapsed="false">
      <c r="A5" s="0" t="s">
        <v>38</v>
      </c>
      <c r="B5" s="0" t="str">
        <f aca="false">INDEX($B$35:$B$42,MATCH($B$4,$A$35:$A$42,0))</f>
        <v>340B COE/HOPD, buy-and-bill, pass-through-if-granted</v>
      </c>
    </row>
    <row r="6" customFormat="false" ht="15" hidden="false" customHeight="false" outlineLevel="0" collapsed="false">
      <c r="A6" s="0" t="s">
        <v>39</v>
      </c>
      <c r="B6" s="9" t="s">
        <v>40</v>
      </c>
    </row>
    <row r="8" customFormat="false" ht="15" hidden="false" customHeight="true" outlineLevel="0" collapsed="false">
      <c r="A8" s="0" t="s">
        <v>41</v>
      </c>
      <c r="B8" s="4" t="s">
        <v>3</v>
      </c>
      <c r="C8" s="4"/>
      <c r="D8" s="4"/>
      <c r="E8" s="4"/>
      <c r="F8" s="4"/>
      <c r="G8" s="4"/>
      <c r="H8" s="4"/>
    </row>
    <row r="9" customFormat="false" ht="15" hidden="false" customHeight="false" outlineLevel="0" collapsed="false">
      <c r="B9" s="4"/>
      <c r="C9" s="4"/>
      <c r="D9" s="4"/>
      <c r="E9" s="4"/>
      <c r="F9" s="4"/>
      <c r="G9" s="4"/>
      <c r="H9" s="4"/>
    </row>
    <row r="10" customFormat="false" ht="15" hidden="false" customHeight="false" outlineLevel="0" collapsed="false">
      <c r="A10" s="7" t="s">
        <v>42</v>
      </c>
      <c r="B10" s="7" t="s">
        <v>43</v>
      </c>
      <c r="C10" s="7" t="s">
        <v>44</v>
      </c>
      <c r="D10" s="7" t="s">
        <v>45</v>
      </c>
      <c r="E10" s="7" t="s">
        <v>46</v>
      </c>
      <c r="F10" s="7" t="s">
        <v>47</v>
      </c>
    </row>
    <row r="11" customFormat="false" ht="23.85" hidden="false" customHeight="false" outlineLevel="0" collapsed="false">
      <c r="A11" s="8" t="s">
        <v>48</v>
      </c>
      <c r="B11" s="8" t="str">
        <f aca="false">INDEX($D$35:$S$42,MATCH($B$4,$A$35:$A$42,0),1)</f>
        <v>HOPD</v>
      </c>
      <c r="C11" s="10"/>
      <c r="D11" s="8" t="str">
        <f aca="false">IF($B$6="Yes",IF(C11&lt;&gt;"",C11,B11),B11)</f>
        <v>HOPD</v>
      </c>
      <c r="E11" s="8" t="str">
        <f aca="false">IF($B$6="Yes",IF(C11&lt;&gt;"","Manual Override","Preset (override on, blank override)"),"Preset")</f>
        <v>Preset</v>
      </c>
      <c r="F11" s="8" t="s">
        <v>49</v>
      </c>
    </row>
    <row r="12" customFormat="false" ht="23.85" hidden="false" customHeight="false" outlineLevel="0" collapsed="false">
      <c r="A12" s="8" t="s">
        <v>50</v>
      </c>
      <c r="B12" s="8" t="str">
        <f aca="false">INDEX($D$35:$S$42,MATCH($B$4,$A$35:$A$42,0),2)</f>
        <v>COE</v>
      </c>
      <c r="C12" s="10"/>
      <c r="D12" s="8" t="str">
        <f aca="false">IF($B$6="Yes",IF(C12&lt;&gt;"",C12,B12),B12)</f>
        <v>COE</v>
      </c>
      <c r="E12" s="8" t="str">
        <f aca="false">IF($B$6="Yes",IF(C12&lt;&gt;"","Manual Override","Preset (override on, blank override)"),"Preset")</f>
        <v>Preset</v>
      </c>
      <c r="F12" s="8" t="s">
        <v>51</v>
      </c>
    </row>
    <row r="13" customFormat="false" ht="15" hidden="false" customHeight="false" outlineLevel="0" collapsed="false">
      <c r="A13" s="8" t="s">
        <v>52</v>
      </c>
      <c r="B13" s="8" t="str">
        <f aca="false">INDEX($D$35:$S$42,MATCH($B$4,$A$35:$A$42,0),3)</f>
        <v>Yes</v>
      </c>
      <c r="C13" s="10"/>
      <c r="D13" s="8" t="str">
        <f aca="false">IF($B$6="Yes",IF(C13&lt;&gt;"",C13,B13),B13)</f>
        <v>Yes</v>
      </c>
      <c r="E13" s="8" t="str">
        <f aca="false">IF($B$6="Yes",IF(C13&lt;&gt;"","Manual Override","Preset (override on, blank override)"),"Preset")</f>
        <v>Preset</v>
      </c>
      <c r="F13" s="8" t="s">
        <v>53</v>
      </c>
    </row>
    <row r="14" customFormat="false" ht="23.85" hidden="false" customHeight="false" outlineLevel="0" collapsed="false">
      <c r="A14" s="8" t="s">
        <v>54</v>
      </c>
      <c r="B14" s="8" t="str">
        <f aca="false">INDEX($D$35:$S$42,MATCH($B$4,$A$35:$A$42,0),4)</f>
        <v>Medicare</v>
      </c>
      <c r="C14" s="10"/>
      <c r="D14" s="8" t="str">
        <f aca="false">IF($B$6="Yes",IF(C14&lt;&gt;"",C14,B14),B14)</f>
        <v>Medicare</v>
      </c>
      <c r="E14" s="8" t="str">
        <f aca="false">IF($B$6="Yes",IF(C14&lt;&gt;"","Manual Override","Preset (override on, blank override)"),"Preset")</f>
        <v>Preset</v>
      </c>
      <c r="F14" s="8" t="s">
        <v>55</v>
      </c>
    </row>
    <row r="15" customFormat="false" ht="23.85" hidden="false" customHeight="false" outlineLevel="0" collapsed="false">
      <c r="A15" s="8" t="s">
        <v>56</v>
      </c>
      <c r="B15" s="8" t="str">
        <f aca="false">INDEX($D$35:$S$42,MATCH($B$4,$A$35:$A$42,0),5)</f>
        <v>Buy-and-bill</v>
      </c>
      <c r="C15" s="10"/>
      <c r="D15" s="8" t="str">
        <f aca="false">IF($B$6="Yes",IF(C15&lt;&gt;"",C15,B15),B15)</f>
        <v>Buy-and-bill</v>
      </c>
      <c r="E15" s="8" t="str">
        <f aca="false">IF($B$6="Yes",IF(C15&lt;&gt;"","Manual Override","Preset (override on, blank override)"),"Preset")</f>
        <v>Preset</v>
      </c>
      <c r="F15" s="8" t="s">
        <v>57</v>
      </c>
    </row>
    <row r="16" customFormat="false" ht="23.85" hidden="false" customHeight="false" outlineLevel="0" collapsed="false">
      <c r="A16" s="8" t="s">
        <v>58</v>
      </c>
      <c r="B16" s="8" t="str">
        <f aca="false">INDEX($D$35:$S$42,MATCH($B$4,$A$35:$A$42,0),6)</f>
        <v>C9399/NOC</v>
      </c>
      <c r="C16" s="10"/>
      <c r="D16" s="8" t="str">
        <f aca="false">IF($B$6="Yes",IF(C16&lt;&gt;"",C16,B16),B16)</f>
        <v>C9399/NOC</v>
      </c>
      <c r="E16" s="8" t="str">
        <f aca="false">IF($B$6="Yes",IF(C16&lt;&gt;"","Manual Override","Preset (override on, blank override)"),"Preset")</f>
        <v>Preset</v>
      </c>
      <c r="F16" s="8" t="s">
        <v>59</v>
      </c>
    </row>
    <row r="17" customFormat="false" ht="15" hidden="false" customHeight="false" outlineLevel="0" collapsed="false">
      <c r="A17" s="8" t="s">
        <v>60</v>
      </c>
      <c r="B17" s="8" t="str">
        <f aca="false">INDEX($D$35:$S$42,MATCH($B$4,$A$35:$A$42,0),7)</f>
        <v>OPPS pass-through active</v>
      </c>
      <c r="C17" s="10"/>
      <c r="D17" s="8" t="str">
        <f aca="false">IF($B$6="Yes",IF(C17&lt;&gt;"",C17,B17),B17)</f>
        <v>OPPS pass-through active</v>
      </c>
      <c r="E17" s="8" t="str">
        <f aca="false">IF($B$6="Yes",IF(C17&lt;&gt;"","Manual Override","Preset (override on, blank override)"),"Preset")</f>
        <v>Preset</v>
      </c>
      <c r="F17" s="8" t="s">
        <v>61</v>
      </c>
    </row>
    <row r="18" customFormat="false" ht="15" hidden="false" customHeight="false" outlineLevel="0" collapsed="false">
      <c r="A18" s="8" t="s">
        <v>62</v>
      </c>
      <c r="B18" s="8" t="str">
        <f aca="false">INDEX($D$35:$S$42,MATCH($B$4,$A$35:$A$42,0),8)</f>
        <v>Initial approval</v>
      </c>
      <c r="C18" s="10"/>
      <c r="D18" s="8" t="str">
        <f aca="false">IF($B$6="Yes",IF(C18&lt;&gt;"",C18,B18),B18)</f>
        <v>Initial approval</v>
      </c>
      <c r="E18" s="8" t="str">
        <f aca="false">IF($B$6="Yes",IF(C18&lt;&gt;"","Manual Override","Preset (override on, blank override)"),"Preset")</f>
        <v>Preset</v>
      </c>
      <c r="F18" s="8" t="s">
        <v>63</v>
      </c>
    </row>
    <row r="19" customFormat="false" ht="15" hidden="false" customHeight="false" outlineLevel="0" collapsed="false">
      <c r="A19" s="8" t="s">
        <v>64</v>
      </c>
      <c r="B19" s="8" t="n">
        <f aca="false">INDEX($D$35:$S$42,MATCH($B$4,$A$35:$A$42,0),9)</f>
        <v>900</v>
      </c>
      <c r="C19" s="10"/>
      <c r="D19" s="8" t="n">
        <f aca="false">IF($B$6="Yes",IF(C19&lt;&gt;"",C19,B19),B19)</f>
        <v>900</v>
      </c>
      <c r="E19" s="8" t="str">
        <f aca="false">IF($B$6="Yes",IF(C19&lt;&gt;"","Manual Override","Preset (override on, blank override)"),"Preset")</f>
        <v>Preset</v>
      </c>
      <c r="F19" s="8" t="s">
        <v>65</v>
      </c>
    </row>
    <row r="20" customFormat="false" ht="15" hidden="false" customHeight="false" outlineLevel="0" collapsed="false">
      <c r="A20" s="8" t="s">
        <v>66</v>
      </c>
      <c r="B20" s="8" t="str">
        <f aca="false">INDEX($D$35:$S$42,MATCH($B$4,$A$35:$A$42,0),10)</f>
        <v>Every 2 weeks</v>
      </c>
      <c r="C20" s="10"/>
      <c r="D20" s="8" t="str">
        <f aca="false">IF($B$6="Yes",IF(C20&lt;&gt;"",C20,B20),B20)</f>
        <v>Every 2 weeks</v>
      </c>
      <c r="E20" s="8" t="str">
        <f aca="false">IF($B$6="Yes",IF(C20&lt;&gt;"","Manual Override","Preset (override on, blank override)"),"Preset")</f>
        <v>Preset</v>
      </c>
      <c r="F20" s="8" t="s">
        <v>67</v>
      </c>
    </row>
    <row r="21" customFormat="false" ht="15" hidden="false" customHeight="false" outlineLevel="0" collapsed="false">
      <c r="A21" s="8" t="s">
        <v>68</v>
      </c>
      <c r="B21" s="8" t="n">
        <f aca="false">INDEX($D$35:$S$42,MATCH($B$4,$A$35:$A$42,0),11)</f>
        <v>26</v>
      </c>
      <c r="C21" s="10"/>
      <c r="D21" s="8" t="n">
        <f aca="false">IF($B$6="Yes",IF(C21&lt;&gt;"",C21,B21),B21)</f>
        <v>26</v>
      </c>
      <c r="E21" s="8" t="str">
        <f aca="false">IF($B$6="Yes",IF(C21&lt;&gt;"","Manual Override","Preset (override on, blank override)"),"Preset")</f>
        <v>Preset</v>
      </c>
      <c r="F21" s="8" t="s">
        <v>69</v>
      </c>
    </row>
    <row r="22" customFormat="false" ht="23.85" hidden="false" customHeight="false" outlineLevel="0" collapsed="false">
      <c r="A22" s="8" t="s">
        <v>70</v>
      </c>
      <c r="B22" s="8" t="str">
        <f aca="false">INDEX($D$35:$S$42,MATCH($B$4,$A$35:$A$42,0),12)</f>
        <v>340B</v>
      </c>
      <c r="C22" s="10"/>
      <c r="D22" s="8" t="str">
        <f aca="false">IF($B$6="Yes",IF(C22&lt;&gt;"",C22,B22),B22)</f>
        <v>340B</v>
      </c>
      <c r="E22" s="8" t="str">
        <f aca="false">IF($B$6="Yes",IF(C22&lt;&gt;"","Manual Override","Preset (override on, blank override)"),"Preset")</f>
        <v>Preset</v>
      </c>
      <c r="F22" s="8" t="s">
        <v>71</v>
      </c>
    </row>
    <row r="23" customFormat="false" ht="35.05" hidden="false" customHeight="false" outlineLevel="0" collapsed="false">
      <c r="A23" s="8" t="s">
        <v>72</v>
      </c>
      <c r="B23" s="8" t="str">
        <f aca="false">INDEX($D$35:$S$42,MATCH($B$4,$A$35:$A$42,0),13)</f>
        <v>Medicare benchmark</v>
      </c>
      <c r="C23" s="10"/>
      <c r="D23" s="8" t="str">
        <f aca="false">IF($B$6="Yes",IF(C23&lt;&gt;"",C23,B23),B23)</f>
        <v>Medicare benchmark</v>
      </c>
      <c r="E23" s="8" t="str">
        <f aca="false">IF($B$6="Yes",IF(C23&lt;&gt;"","Manual Override","Preset (override on, blank override)"),"Preset")</f>
        <v>Preset</v>
      </c>
      <c r="F23" s="8" t="s">
        <v>73</v>
      </c>
    </row>
    <row r="24" customFormat="false" ht="15" hidden="false" customHeight="false" outlineLevel="0" collapsed="false">
      <c r="A24" s="8" t="s">
        <v>74</v>
      </c>
      <c r="B24" s="8" t="str">
        <f aca="false">INDEX($D$35:$S$42,MATCH($B$4,$A$35:$A$42,0),14)</f>
        <v>UB-04/837I</v>
      </c>
      <c r="C24" s="10"/>
      <c r="D24" s="8" t="str">
        <f aca="false">IF($B$6="Yes",IF(C24&lt;&gt;"",C24,B24),B24)</f>
        <v>UB-04/837I</v>
      </c>
      <c r="E24" s="8" t="str">
        <f aca="false">IF($B$6="Yes",IF(C24&lt;&gt;"","Manual Override","Preset (override on, blank override)"),"Preset")</f>
        <v>Preset</v>
      </c>
      <c r="F24" s="8" t="s">
        <v>75</v>
      </c>
    </row>
    <row r="25" customFormat="false" ht="15" hidden="false" customHeight="false" outlineLevel="0" collapsed="false">
      <c r="A25" s="8" t="s">
        <v>76</v>
      </c>
      <c r="B25" s="8" t="str">
        <f aca="false">INDEX($D$35:$S$42,MATCH($B$4,$A$35:$A$42,0),15)</f>
        <v>Not applicable</v>
      </c>
      <c r="C25" s="10"/>
      <c r="D25" s="8" t="str">
        <f aca="false">IF($B$6="Yes",IF(C25&lt;&gt;"",C25,B25),B25)</f>
        <v>Not applicable</v>
      </c>
      <c r="E25" s="8" t="str">
        <f aca="false">IF($B$6="Yes",IF(C25&lt;&gt;"","Manual Override","Preset (override on, blank override)"),"Preset")</f>
        <v>Preset</v>
      </c>
      <c r="F25" s="8" t="s">
        <v>77</v>
      </c>
    </row>
    <row r="26" customFormat="false" ht="23.85" hidden="false" customHeight="false" outlineLevel="0" collapsed="false">
      <c r="A26" s="8" t="s">
        <v>78</v>
      </c>
      <c r="B26" s="8" t="str">
        <f aca="false">INDEX($D$35:$S$42,MATCH($B$4,$A$35:$A$42,0),16)</f>
        <v>Carve-out</v>
      </c>
      <c r="C26" s="10"/>
      <c r="D26" s="8" t="str">
        <f aca="false">IF($B$6="Yes",IF(C26&lt;&gt;"",C26,B26),B26)</f>
        <v>Carve-out</v>
      </c>
      <c r="E26" s="8" t="str">
        <f aca="false">IF($B$6="Yes",IF(C26&lt;&gt;"","Manual Override","Preset (override on, blank override)"),"Preset")</f>
        <v>Preset</v>
      </c>
      <c r="F26" s="8" t="s">
        <v>79</v>
      </c>
    </row>
    <row r="34" customFormat="false" ht="39.55" hidden="false" customHeight="false" outlineLevel="0" collapsed="false">
      <c r="A34" s="7" t="s">
        <v>80</v>
      </c>
      <c r="B34" s="7" t="s">
        <v>81</v>
      </c>
      <c r="C34" s="7" t="s">
        <v>82</v>
      </c>
      <c r="D34" s="7" t="s">
        <v>48</v>
      </c>
      <c r="E34" s="7" t="s">
        <v>50</v>
      </c>
      <c r="F34" s="7" t="s">
        <v>52</v>
      </c>
      <c r="G34" s="7" t="s">
        <v>54</v>
      </c>
      <c r="H34" s="7" t="s">
        <v>56</v>
      </c>
      <c r="I34" s="7" t="s">
        <v>58</v>
      </c>
      <c r="J34" s="7" t="s">
        <v>60</v>
      </c>
      <c r="K34" s="7" t="s">
        <v>62</v>
      </c>
      <c r="L34" s="7" t="s">
        <v>64</v>
      </c>
      <c r="M34" s="7" t="s">
        <v>66</v>
      </c>
      <c r="N34" s="7" t="s">
        <v>68</v>
      </c>
      <c r="O34" s="7" t="s">
        <v>70</v>
      </c>
      <c r="P34" s="7" t="s">
        <v>72</v>
      </c>
      <c r="Q34" s="7" t="s">
        <v>74</v>
      </c>
      <c r="R34" s="7" t="s">
        <v>83</v>
      </c>
      <c r="S34" s="7" t="s">
        <v>78</v>
      </c>
      <c r="T34" s="7" t="s">
        <v>84</v>
      </c>
      <c r="U34" s="7" t="s">
        <v>85</v>
      </c>
      <c r="V34" s="7" t="s">
        <v>86</v>
      </c>
      <c r="W34" s="7" t="s">
        <v>87</v>
      </c>
      <c r="X34" s="7" t="s">
        <v>88</v>
      </c>
      <c r="Y34" s="7" t="s">
        <v>89</v>
      </c>
      <c r="Z34" s="7" t="s">
        <v>90</v>
      </c>
      <c r="AA34" s="7" t="s">
        <v>91</v>
      </c>
      <c r="AB34" s="7" t="s">
        <v>92</v>
      </c>
      <c r="AC34" s="7" t="s">
        <v>93</v>
      </c>
      <c r="AD34" s="7" t="s">
        <v>94</v>
      </c>
      <c r="AE34" s="7" t="s">
        <v>95</v>
      </c>
      <c r="AF34" s="7" t="s">
        <v>96</v>
      </c>
      <c r="AG34" s="7" t="s">
        <v>97</v>
      </c>
    </row>
    <row r="35" customFormat="false" ht="23.85" hidden="false" customHeight="false" outlineLevel="0" collapsed="false">
      <c r="A35" s="8" t="s">
        <v>37</v>
      </c>
      <c r="B35" s="8" t="s">
        <v>98</v>
      </c>
      <c r="C35" s="8" t="s">
        <v>99</v>
      </c>
      <c r="D35" s="8" t="s">
        <v>100</v>
      </c>
      <c r="E35" s="8" t="s">
        <v>101</v>
      </c>
      <c r="F35" s="8" t="s">
        <v>102</v>
      </c>
      <c r="G35" s="8" t="s">
        <v>103</v>
      </c>
      <c r="H35" s="8" t="s">
        <v>104</v>
      </c>
      <c r="I35" s="8" t="s">
        <v>105</v>
      </c>
      <c r="J35" s="8" t="s">
        <v>106</v>
      </c>
      <c r="K35" s="8" t="s">
        <v>107</v>
      </c>
      <c r="L35" s="8" t="n">
        <v>900</v>
      </c>
      <c r="M35" s="8" t="s">
        <v>108</v>
      </c>
      <c r="N35" s="8" t="n">
        <v>26</v>
      </c>
      <c r="O35" s="8" t="s">
        <v>109</v>
      </c>
      <c r="P35" s="8" t="s">
        <v>110</v>
      </c>
      <c r="Q35" s="8" t="s">
        <v>111</v>
      </c>
      <c r="R35" s="8" t="s">
        <v>112</v>
      </c>
      <c r="S35" s="8" t="s">
        <v>113</v>
      </c>
      <c r="T35" s="11" t="n">
        <v>40170</v>
      </c>
      <c r="U35" s="11" t="n">
        <v>29991</v>
      </c>
      <c r="V35" s="11" t="n">
        <v>500</v>
      </c>
      <c r="W35" s="11" t="n">
        <v>0</v>
      </c>
      <c r="X35" s="11" t="n">
        <v>400</v>
      </c>
      <c r="Y35" s="11" t="n">
        <v>750</v>
      </c>
      <c r="Z35" s="11" t="n">
        <v>300</v>
      </c>
      <c r="AA35" s="12" t="n">
        <v>0.075</v>
      </c>
      <c r="AB35" s="12" t="n">
        <v>0.6</v>
      </c>
      <c r="AC35" s="8" t="n">
        <v>75</v>
      </c>
      <c r="AD35" s="12" t="n">
        <v>0.08</v>
      </c>
      <c r="AE35" s="11" t="n">
        <v>39000</v>
      </c>
      <c r="AF35" s="8" t="n">
        <v>900</v>
      </c>
      <c r="AG35" s="8" t="s">
        <v>114</v>
      </c>
    </row>
    <row r="36" customFormat="false" ht="23.85" hidden="false" customHeight="false" outlineLevel="0" collapsed="false">
      <c r="A36" s="8" t="s">
        <v>115</v>
      </c>
      <c r="B36" s="8" t="s">
        <v>116</v>
      </c>
      <c r="C36" s="8" t="s">
        <v>117</v>
      </c>
      <c r="D36" s="8" t="s">
        <v>100</v>
      </c>
      <c r="E36" s="8" t="s">
        <v>101</v>
      </c>
      <c r="F36" s="8" t="s">
        <v>102</v>
      </c>
      <c r="G36" s="8" t="s">
        <v>103</v>
      </c>
      <c r="H36" s="8" t="s">
        <v>104</v>
      </c>
      <c r="I36" s="8" t="s">
        <v>105</v>
      </c>
      <c r="J36" s="8" t="s">
        <v>118</v>
      </c>
      <c r="K36" s="8" t="s">
        <v>107</v>
      </c>
      <c r="L36" s="8" t="n">
        <v>900</v>
      </c>
      <c r="M36" s="8" t="s">
        <v>108</v>
      </c>
      <c r="N36" s="8" t="n">
        <v>26</v>
      </c>
      <c r="O36" s="8" t="s">
        <v>109</v>
      </c>
      <c r="P36" s="8" t="s">
        <v>118</v>
      </c>
      <c r="Q36" s="8" t="s">
        <v>111</v>
      </c>
      <c r="R36" s="8" t="s">
        <v>112</v>
      </c>
      <c r="S36" s="8" t="s">
        <v>113</v>
      </c>
      <c r="T36" s="11" t="n">
        <v>37050</v>
      </c>
      <c r="U36" s="11" t="n">
        <v>29991</v>
      </c>
      <c r="V36" s="11" t="n">
        <v>500</v>
      </c>
      <c r="W36" s="11" t="n">
        <v>0</v>
      </c>
      <c r="X36" s="11" t="n">
        <v>500</v>
      </c>
      <c r="Y36" s="11" t="n">
        <v>850</v>
      </c>
      <c r="Z36" s="11" t="n">
        <v>400</v>
      </c>
      <c r="AA36" s="12" t="n">
        <v>0.12</v>
      </c>
      <c r="AB36" s="12" t="n">
        <v>0.5</v>
      </c>
      <c r="AC36" s="8" t="n">
        <v>95</v>
      </c>
      <c r="AD36" s="12" t="n">
        <v>0.08</v>
      </c>
      <c r="AE36" s="11" t="n">
        <v>39000</v>
      </c>
      <c r="AF36" s="8" t="n">
        <v>900</v>
      </c>
      <c r="AG36" s="8" t="s">
        <v>119</v>
      </c>
    </row>
    <row r="37" customFormat="false" ht="23.85" hidden="false" customHeight="false" outlineLevel="0" collapsed="false">
      <c r="A37" s="8" t="s">
        <v>120</v>
      </c>
      <c r="B37" s="8" t="s">
        <v>121</v>
      </c>
      <c r="C37" s="8" t="s">
        <v>122</v>
      </c>
      <c r="D37" s="8" t="s">
        <v>100</v>
      </c>
      <c r="E37" s="8" t="s">
        <v>101</v>
      </c>
      <c r="F37" s="8" t="s">
        <v>102</v>
      </c>
      <c r="G37" s="8" t="s">
        <v>103</v>
      </c>
      <c r="H37" s="8" t="s">
        <v>104</v>
      </c>
      <c r="I37" s="8" t="s">
        <v>123</v>
      </c>
      <c r="J37" s="8" t="s">
        <v>124</v>
      </c>
      <c r="K37" s="8" t="s">
        <v>125</v>
      </c>
      <c r="L37" s="8" t="n">
        <v>900</v>
      </c>
      <c r="M37" s="8" t="s">
        <v>108</v>
      </c>
      <c r="N37" s="8" t="n">
        <v>26</v>
      </c>
      <c r="O37" s="8" t="s">
        <v>109</v>
      </c>
      <c r="P37" s="8" t="s">
        <v>110</v>
      </c>
      <c r="Q37" s="8" t="s">
        <v>111</v>
      </c>
      <c r="R37" s="8" t="s">
        <v>112</v>
      </c>
      <c r="S37" s="8" t="s">
        <v>113</v>
      </c>
      <c r="T37" s="11" t="n">
        <v>39273</v>
      </c>
      <c r="U37" s="11" t="n">
        <v>29991</v>
      </c>
      <c r="V37" s="11" t="n">
        <v>500</v>
      </c>
      <c r="W37" s="11" t="n">
        <v>0</v>
      </c>
      <c r="X37" s="11" t="n">
        <v>350</v>
      </c>
      <c r="Y37" s="11" t="n">
        <v>650</v>
      </c>
      <c r="Z37" s="11" t="n">
        <v>275</v>
      </c>
      <c r="AA37" s="12" t="n">
        <v>0.05</v>
      </c>
      <c r="AB37" s="12" t="n">
        <v>0.7</v>
      </c>
      <c r="AC37" s="8" t="n">
        <v>65</v>
      </c>
      <c r="AD37" s="12" t="n">
        <v>0.08</v>
      </c>
      <c r="AE37" s="11" t="n">
        <v>39000</v>
      </c>
      <c r="AF37" s="8" t="n">
        <v>900</v>
      </c>
      <c r="AG37" s="8" t="s">
        <v>126</v>
      </c>
    </row>
    <row r="38" customFormat="false" ht="23.85" hidden="false" customHeight="false" outlineLevel="0" collapsed="false">
      <c r="A38" s="8" t="s">
        <v>127</v>
      </c>
      <c r="B38" s="8" t="s">
        <v>128</v>
      </c>
      <c r="C38" s="8" t="s">
        <v>129</v>
      </c>
      <c r="D38" s="8" t="s">
        <v>100</v>
      </c>
      <c r="E38" s="8" t="s">
        <v>130</v>
      </c>
      <c r="F38" s="8" t="s">
        <v>40</v>
      </c>
      <c r="G38" s="8" t="s">
        <v>131</v>
      </c>
      <c r="H38" s="8" t="s">
        <v>104</v>
      </c>
      <c r="I38" s="8" t="s">
        <v>132</v>
      </c>
      <c r="J38" s="8" t="s">
        <v>133</v>
      </c>
      <c r="K38" s="8" t="s">
        <v>107</v>
      </c>
      <c r="L38" s="8" t="n">
        <v>900</v>
      </c>
      <c r="M38" s="8" t="s">
        <v>108</v>
      </c>
      <c r="N38" s="8" t="n">
        <v>26</v>
      </c>
      <c r="O38" s="8" t="s">
        <v>134</v>
      </c>
      <c r="P38" s="8" t="s">
        <v>135</v>
      </c>
      <c r="Q38" s="8" t="s">
        <v>111</v>
      </c>
      <c r="R38" s="8" t="s">
        <v>112</v>
      </c>
      <c r="S38" s="8" t="s">
        <v>112</v>
      </c>
      <c r="T38" s="11" t="n">
        <v>42000</v>
      </c>
      <c r="U38" s="11" t="n">
        <v>39000</v>
      </c>
      <c r="V38" s="11" t="n">
        <v>625</v>
      </c>
      <c r="W38" s="11" t="n">
        <v>0</v>
      </c>
      <c r="X38" s="11" t="n">
        <v>450</v>
      </c>
      <c r="Y38" s="11" t="n">
        <v>700</v>
      </c>
      <c r="Z38" s="11" t="n">
        <v>350</v>
      </c>
      <c r="AA38" s="12" t="n">
        <v>0.09</v>
      </c>
      <c r="AB38" s="12" t="n">
        <v>0.55</v>
      </c>
      <c r="AC38" s="8" t="n">
        <v>80</v>
      </c>
      <c r="AD38" s="12" t="n">
        <v>0.08</v>
      </c>
      <c r="AE38" s="11" t="n">
        <v>39000</v>
      </c>
      <c r="AF38" s="8" t="n">
        <v>900</v>
      </c>
      <c r="AG38" s="8" t="s">
        <v>136</v>
      </c>
    </row>
    <row r="39" customFormat="false" ht="23.85" hidden="false" customHeight="false" outlineLevel="0" collapsed="false">
      <c r="A39" s="8" t="s">
        <v>137</v>
      </c>
      <c r="B39" s="8" t="s">
        <v>138</v>
      </c>
      <c r="C39" s="8" t="s">
        <v>139</v>
      </c>
      <c r="D39" s="8" t="s">
        <v>100</v>
      </c>
      <c r="E39" s="8" t="s">
        <v>101</v>
      </c>
      <c r="F39" s="8" t="s">
        <v>140</v>
      </c>
      <c r="G39" s="8" t="s">
        <v>131</v>
      </c>
      <c r="H39" s="8" t="s">
        <v>141</v>
      </c>
      <c r="I39" s="8" t="s">
        <v>132</v>
      </c>
      <c r="J39" s="8" t="s">
        <v>142</v>
      </c>
      <c r="K39" s="8" t="s">
        <v>107</v>
      </c>
      <c r="L39" s="8" t="n">
        <v>900</v>
      </c>
      <c r="M39" s="8" t="s">
        <v>108</v>
      </c>
      <c r="N39" s="8" t="n">
        <v>26</v>
      </c>
      <c r="O39" s="8" t="s">
        <v>143</v>
      </c>
      <c r="P39" s="8" t="s">
        <v>144</v>
      </c>
      <c r="Q39" s="8" t="s">
        <v>111</v>
      </c>
      <c r="R39" s="8" t="s">
        <v>112</v>
      </c>
      <c r="S39" s="8" t="s">
        <v>112</v>
      </c>
      <c r="T39" s="11" t="n">
        <v>0</v>
      </c>
      <c r="U39" s="11" t="n">
        <v>0</v>
      </c>
      <c r="V39" s="11" t="n">
        <v>450</v>
      </c>
      <c r="W39" s="11" t="n">
        <v>0</v>
      </c>
      <c r="X39" s="11" t="n">
        <v>250</v>
      </c>
      <c r="Y39" s="11" t="n">
        <v>600</v>
      </c>
      <c r="Z39" s="11" t="n">
        <v>275</v>
      </c>
      <c r="AA39" s="12" t="n">
        <v>0.06</v>
      </c>
      <c r="AB39" s="12" t="n">
        <v>0.5</v>
      </c>
      <c r="AC39" s="8" t="n">
        <v>55</v>
      </c>
      <c r="AD39" s="12" t="n">
        <v>0.08</v>
      </c>
      <c r="AE39" s="11" t="n">
        <v>39000</v>
      </c>
      <c r="AF39" s="8" t="n">
        <v>900</v>
      </c>
      <c r="AG39" s="8" t="s">
        <v>145</v>
      </c>
    </row>
    <row r="40" customFormat="false" ht="35.05" hidden="false" customHeight="false" outlineLevel="0" collapsed="false">
      <c r="A40" s="8" t="s">
        <v>146</v>
      </c>
      <c r="B40" s="8" t="s">
        <v>147</v>
      </c>
      <c r="C40" s="8" t="s">
        <v>148</v>
      </c>
      <c r="D40" s="8" t="s">
        <v>100</v>
      </c>
      <c r="E40" s="8" t="s">
        <v>149</v>
      </c>
      <c r="F40" s="8" t="s">
        <v>102</v>
      </c>
      <c r="G40" s="8" t="s">
        <v>150</v>
      </c>
      <c r="H40" s="8" t="s">
        <v>104</v>
      </c>
      <c r="I40" s="8" t="s">
        <v>132</v>
      </c>
      <c r="J40" s="8" t="s">
        <v>151</v>
      </c>
      <c r="K40" s="8" t="s">
        <v>107</v>
      </c>
      <c r="L40" s="8" t="n">
        <v>900</v>
      </c>
      <c r="M40" s="8" t="s">
        <v>108</v>
      </c>
      <c r="N40" s="8" t="n">
        <v>26</v>
      </c>
      <c r="O40" s="8" t="s">
        <v>109</v>
      </c>
      <c r="P40" s="8" t="s">
        <v>150</v>
      </c>
      <c r="Q40" s="8" t="s">
        <v>111</v>
      </c>
      <c r="R40" s="8" t="s">
        <v>152</v>
      </c>
      <c r="S40" s="8" t="s">
        <v>153</v>
      </c>
      <c r="T40" s="11" t="n">
        <v>36000</v>
      </c>
      <c r="U40" s="11" t="n">
        <v>29991</v>
      </c>
      <c r="V40" s="11" t="n">
        <v>475</v>
      </c>
      <c r="W40" s="11" t="n">
        <v>0</v>
      </c>
      <c r="X40" s="11" t="n">
        <v>500</v>
      </c>
      <c r="Y40" s="11" t="n">
        <v>800</v>
      </c>
      <c r="Z40" s="11" t="n">
        <v>450</v>
      </c>
      <c r="AA40" s="12" t="n">
        <v>0.1</v>
      </c>
      <c r="AB40" s="12" t="n">
        <v>0.5</v>
      </c>
      <c r="AC40" s="8" t="n">
        <v>90</v>
      </c>
      <c r="AD40" s="12" t="n">
        <v>0.08</v>
      </c>
      <c r="AE40" s="11" t="n">
        <v>39000</v>
      </c>
      <c r="AF40" s="8" t="n">
        <v>900</v>
      </c>
      <c r="AG40" s="8" t="s">
        <v>154</v>
      </c>
    </row>
    <row r="41" customFormat="false" ht="23.85" hidden="false" customHeight="false" outlineLevel="0" collapsed="false">
      <c r="A41" s="8" t="s">
        <v>155</v>
      </c>
      <c r="B41" s="8" t="s">
        <v>156</v>
      </c>
      <c r="C41" s="8" t="s">
        <v>157</v>
      </c>
      <c r="D41" s="8" t="s">
        <v>100</v>
      </c>
      <c r="E41" s="8" t="s">
        <v>158</v>
      </c>
      <c r="F41" s="8" t="s">
        <v>140</v>
      </c>
      <c r="G41" s="8" t="s">
        <v>156</v>
      </c>
      <c r="H41" s="8" t="s">
        <v>159</v>
      </c>
      <c r="I41" s="8" t="s">
        <v>132</v>
      </c>
      <c r="J41" s="8" t="s">
        <v>160</v>
      </c>
      <c r="K41" s="8" t="s">
        <v>107</v>
      </c>
      <c r="L41" s="8" t="n">
        <v>900</v>
      </c>
      <c r="M41" s="8" t="s">
        <v>108</v>
      </c>
      <c r="N41" s="8" t="n">
        <v>26</v>
      </c>
      <c r="O41" s="8" t="s">
        <v>161</v>
      </c>
      <c r="P41" s="8" t="s">
        <v>156</v>
      </c>
      <c r="Q41" s="8" t="s">
        <v>111</v>
      </c>
      <c r="R41" s="8" t="s">
        <v>162</v>
      </c>
      <c r="S41" s="8" t="s">
        <v>140</v>
      </c>
      <c r="T41" s="11" t="n">
        <v>35000</v>
      </c>
      <c r="U41" s="11" t="n">
        <v>39000</v>
      </c>
      <c r="V41" s="11" t="n">
        <v>475</v>
      </c>
      <c r="W41" s="11" t="n">
        <v>0</v>
      </c>
      <c r="X41" s="11" t="n">
        <v>500</v>
      </c>
      <c r="Y41" s="11" t="n">
        <v>850</v>
      </c>
      <c r="Z41" s="11" t="n">
        <v>500</v>
      </c>
      <c r="AA41" s="12" t="n">
        <v>0.11</v>
      </c>
      <c r="AB41" s="12" t="n">
        <v>0.45</v>
      </c>
      <c r="AC41" s="8" t="n">
        <v>95</v>
      </c>
      <c r="AD41" s="12" t="n">
        <v>0.08</v>
      </c>
      <c r="AE41" s="11" t="n">
        <v>39000</v>
      </c>
      <c r="AF41" s="8" t="n">
        <v>900</v>
      </c>
      <c r="AG41" s="8" t="s">
        <v>163</v>
      </c>
    </row>
    <row r="42" customFormat="false" ht="23.85" hidden="false" customHeight="false" outlineLevel="0" collapsed="false">
      <c r="A42" s="8" t="s">
        <v>164</v>
      </c>
      <c r="B42" s="8" t="s">
        <v>165</v>
      </c>
      <c r="C42" s="8" t="s">
        <v>166</v>
      </c>
      <c r="D42" s="8" t="s">
        <v>167</v>
      </c>
      <c r="E42" s="8" t="s">
        <v>158</v>
      </c>
      <c r="F42" s="8" t="s">
        <v>40</v>
      </c>
      <c r="G42" s="8" t="s">
        <v>103</v>
      </c>
      <c r="H42" s="8" t="s">
        <v>104</v>
      </c>
      <c r="I42" s="8" t="s">
        <v>168</v>
      </c>
      <c r="J42" s="8" t="s">
        <v>169</v>
      </c>
      <c r="K42" s="8" t="s">
        <v>107</v>
      </c>
      <c r="L42" s="8" t="n">
        <v>900</v>
      </c>
      <c r="M42" s="8" t="s">
        <v>108</v>
      </c>
      <c r="N42" s="8" t="n">
        <v>26</v>
      </c>
      <c r="O42" s="8" t="s">
        <v>134</v>
      </c>
      <c r="P42" s="8" t="s">
        <v>110</v>
      </c>
      <c r="Q42" s="8" t="s">
        <v>170</v>
      </c>
      <c r="R42" s="8" t="s">
        <v>112</v>
      </c>
      <c r="S42" s="8" t="s">
        <v>112</v>
      </c>
      <c r="T42" s="11" t="n">
        <v>40170</v>
      </c>
      <c r="U42" s="11" t="n">
        <v>39000</v>
      </c>
      <c r="V42" s="11" t="n">
        <v>325</v>
      </c>
      <c r="W42" s="11" t="n">
        <v>0</v>
      </c>
      <c r="X42" s="11" t="n">
        <v>250</v>
      </c>
      <c r="Y42" s="11" t="n">
        <v>400</v>
      </c>
      <c r="Z42" s="11" t="n">
        <v>250</v>
      </c>
      <c r="AA42" s="12" t="n">
        <v>0.07</v>
      </c>
      <c r="AB42" s="12" t="n">
        <v>0.6</v>
      </c>
      <c r="AC42" s="8" t="n">
        <v>60</v>
      </c>
      <c r="AD42" s="12" t="n">
        <v>0.08</v>
      </c>
      <c r="AE42" s="11" t="n">
        <v>39000</v>
      </c>
      <c r="AF42" s="8" t="n">
        <v>900</v>
      </c>
      <c r="AG42" s="8" t="s">
        <v>171</v>
      </c>
    </row>
  </sheetData>
  <sheetProtection sheet="true" password="cc2a" selectUnlockedCells="true"/>
  <mergeCells count="3">
    <mergeCell ref="A1:L1"/>
    <mergeCell ref="A2:L2"/>
    <mergeCell ref="B8:H9"/>
  </mergeCells>
  <dataValidations count="2">
    <dataValidation allowBlank="true" error="Select an approved value from the list." errorStyle="stop" errorTitle="Invalid selection" operator="between" showDropDown="false" showErrorMessage="false" showInputMessage="false" sqref="B4" type="list">
      <formula1>"S01,S02,S03,S04,S05,S06,S07,S08"</formula1>
      <formula2>0</formula2>
    </dataValidation>
    <dataValidation allowBlank="true" error="Select an approved value from the list." errorStyle="stop" errorTitle="Invalid selection" operator="between" showDropDown="false" showErrorMessage="false" showInputMessage="false" sqref="B6" type="list">
      <formula1>"No,Yes"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26"/>
    <col collapsed="false" customWidth="true" hidden="false" outlineLevel="0" max="4" min="4" style="0" width="50"/>
    <col collapsed="false" customWidth="true" hidden="false" outlineLevel="0" max="6" min="5" style="0" width="18"/>
  </cols>
  <sheetData>
    <row r="1" customFormat="false" ht="27.75" hidden="false" customHeight="true" outlineLevel="0" collapsed="false">
      <c r="A1" s="1" t="s">
        <v>172</v>
      </c>
      <c r="B1" s="1"/>
      <c r="C1" s="1"/>
      <c r="D1" s="1"/>
      <c r="E1" s="1"/>
      <c r="F1" s="1"/>
    </row>
    <row r="2" customFormat="false" ht="31.5" hidden="false" customHeight="true" outlineLevel="0" collapsed="false">
      <c r="A2" s="2" t="s">
        <v>173</v>
      </c>
      <c r="B2" s="2"/>
      <c r="C2" s="2"/>
      <c r="D2" s="2"/>
      <c r="E2" s="2"/>
      <c r="F2" s="2"/>
    </row>
    <row r="3" customFormat="false" ht="15" hidden="false" customHeight="false" outlineLevel="0" collapsed="false">
      <c r="A3" s="7" t="s">
        <v>174</v>
      </c>
      <c r="B3" s="7" t="s">
        <v>175</v>
      </c>
      <c r="C3" s="7" t="s">
        <v>176</v>
      </c>
      <c r="D3" s="7" t="s">
        <v>47</v>
      </c>
    </row>
    <row r="4" customFormat="false" ht="23.85" hidden="false" customHeight="false" outlineLevel="0" collapsed="false">
      <c r="A4" s="8" t="s">
        <v>95</v>
      </c>
      <c r="B4" s="11" t="n">
        <f aca="false">INDEX('Scenario Engine'!$AE$35:$AE$42,MATCH('Scenario Engine'!$B$4,'Scenario Engine'!$A$35:$A$42,0))</f>
        <v>39000</v>
      </c>
      <c r="C4" s="8" t="s">
        <v>177</v>
      </c>
      <c r="D4" s="8" t="s">
        <v>178</v>
      </c>
    </row>
    <row r="5" customFormat="false" ht="15" hidden="false" customHeight="false" outlineLevel="0" collapsed="false">
      <c r="A5" s="8" t="s">
        <v>179</v>
      </c>
      <c r="B5" s="8" t="n">
        <f aca="false">INDEX('Scenario Engine'!$AF$35:$AF$42,MATCH('Scenario Engine'!$B$4,'Scenario Engine'!$A$35:$A$42,0))</f>
        <v>900</v>
      </c>
      <c r="C5" s="8" t="s">
        <v>177</v>
      </c>
      <c r="D5" s="8" t="s">
        <v>180</v>
      </c>
    </row>
    <row r="6" customFormat="false" ht="15" hidden="false" customHeight="false" outlineLevel="0" collapsed="false">
      <c r="A6" s="8" t="s">
        <v>181</v>
      </c>
      <c r="B6" s="8" t="n">
        <f aca="false">'Scenario Engine'!$D$19</f>
        <v>900</v>
      </c>
      <c r="C6" s="8" t="s">
        <v>182</v>
      </c>
      <c r="D6" s="8" t="s">
        <v>183</v>
      </c>
    </row>
    <row r="7" customFormat="false" ht="15" hidden="false" customHeight="false" outlineLevel="0" collapsed="false">
      <c r="A7" s="8" t="s">
        <v>184</v>
      </c>
      <c r="B7" s="8" t="str">
        <f aca="false">'Scenario Engine'!$D$20</f>
        <v>Every 2 weeks</v>
      </c>
      <c r="C7" s="8" t="s">
        <v>182</v>
      </c>
      <c r="D7" s="8" t="s">
        <v>185</v>
      </c>
    </row>
    <row r="8" customFormat="false" ht="15" hidden="false" customHeight="false" outlineLevel="0" collapsed="false">
      <c r="A8" s="8" t="s">
        <v>68</v>
      </c>
      <c r="B8" s="8" t="n">
        <f aca="false">'Scenario Engine'!$D$21</f>
        <v>26</v>
      </c>
      <c r="C8" s="8" t="s">
        <v>182</v>
      </c>
      <c r="D8" s="8" t="s">
        <v>186</v>
      </c>
    </row>
    <row r="9" customFormat="false" ht="15" hidden="false" customHeight="false" outlineLevel="0" collapsed="false">
      <c r="A9" s="8" t="s">
        <v>187</v>
      </c>
      <c r="B9" s="8" t="n">
        <f aca="false">CEILING(B6/B5,1)</f>
        <v>1</v>
      </c>
      <c r="C9" s="8" t="s">
        <v>188</v>
      </c>
      <c r="D9" s="8" t="s">
        <v>189</v>
      </c>
    </row>
    <row r="10" customFormat="false" ht="15" hidden="false" customHeight="false" outlineLevel="0" collapsed="false">
      <c r="A10" s="8" t="s">
        <v>190</v>
      </c>
      <c r="B10" s="8" t="n">
        <f aca="false">(B9*B5)-B6</f>
        <v>0</v>
      </c>
      <c r="C10" s="8" t="s">
        <v>188</v>
      </c>
      <c r="D10" s="8" t="s">
        <v>191</v>
      </c>
    </row>
    <row r="11" customFormat="false" ht="15" hidden="false" customHeight="false" outlineLevel="0" collapsed="false">
      <c r="A11" s="8" t="s">
        <v>192</v>
      </c>
      <c r="B11" s="11" t="n">
        <f aca="false">B4*B9</f>
        <v>39000</v>
      </c>
      <c r="C11" s="8" t="s">
        <v>188</v>
      </c>
      <c r="D11" s="8" t="s">
        <v>193</v>
      </c>
    </row>
    <row r="12" customFormat="false" ht="23.85" hidden="false" customHeight="false" outlineLevel="0" collapsed="false">
      <c r="A12" s="8" t="s">
        <v>70</v>
      </c>
      <c r="B12" s="8" t="str">
        <f aca="false">'Scenario Engine'!$D$22</f>
        <v>340B</v>
      </c>
      <c r="C12" s="8" t="s">
        <v>182</v>
      </c>
      <c r="D12" s="8" t="s">
        <v>194</v>
      </c>
    </row>
    <row r="13" customFormat="false" ht="23.85" hidden="false" customHeight="false" outlineLevel="0" collapsed="false">
      <c r="A13" s="8" t="s">
        <v>195</v>
      </c>
      <c r="B13" s="11" t="n">
        <f aca="false">INDEX('Scenario Engine'!$U$35:$U$42,MATCH('Scenario Engine'!$B$4,'Scenario Engine'!$A$35:$A$42,0))</f>
        <v>29991</v>
      </c>
      <c r="C13" s="8" t="s">
        <v>177</v>
      </c>
      <c r="D13" s="8" t="s">
        <v>196</v>
      </c>
    </row>
    <row r="14" customFormat="false" ht="23.85" hidden="false" customHeight="false" outlineLevel="0" collapsed="false">
      <c r="A14" s="8" t="s">
        <v>197</v>
      </c>
      <c r="B14" s="11" t="n">
        <f aca="false">IF(OR(B12="Specialty pharmacy",B12="White-bagging"),0,B13)</f>
        <v>29991</v>
      </c>
      <c r="C14" s="8" t="s">
        <v>188</v>
      </c>
      <c r="D14" s="8" t="s">
        <v>198</v>
      </c>
    </row>
    <row r="15" customFormat="false" ht="15" hidden="false" customHeight="false" outlineLevel="0" collapsed="false">
      <c r="A15" s="8" t="s">
        <v>72</v>
      </c>
      <c r="B15" s="8" t="str">
        <f aca="false">'Scenario Engine'!$D$23</f>
        <v>Medicare benchmark</v>
      </c>
      <c r="C15" s="8" t="s">
        <v>182</v>
      </c>
      <c r="D15" s="8" t="s">
        <v>199</v>
      </c>
    </row>
    <row r="16" customFormat="false" ht="23.85" hidden="false" customHeight="false" outlineLevel="0" collapsed="false">
      <c r="A16" s="8" t="s">
        <v>200</v>
      </c>
      <c r="B16" s="11" t="n">
        <f aca="false">IF(OR('Scenario Engine'!$D$15="White-bagging",'Scenario Engine'!$D$15="Specialty pharmacy"),0,IF(AND('Scenario Engine'!$D$11="Physician office",'Scenario Engine'!$D$17="Pre-ASP WAC benchmark"),B11*1.03,INDEX('Scenario Engine'!$T$35:$T$42,MATCH('Scenario Engine'!$B$4,'Scenario Engine'!$A$35:$A$42,0))))</f>
        <v>40170</v>
      </c>
      <c r="C16" s="8" t="s">
        <v>188</v>
      </c>
      <c r="D16" s="8" t="s">
        <v>201</v>
      </c>
    </row>
    <row r="17" customFormat="false" ht="15" hidden="false" customHeight="false" outlineLevel="0" collapsed="false">
      <c r="A17" s="8" t="s">
        <v>202</v>
      </c>
      <c r="B17" s="11" t="n">
        <f aca="false">INDEX('Scenario Engine'!$V$35:$V$42,MATCH('Scenario Engine'!$B$4,'Scenario Engine'!$A$35:$A$42,0))</f>
        <v>500</v>
      </c>
      <c r="C17" s="8" t="s">
        <v>177</v>
      </c>
      <c r="D17" s="8" t="s">
        <v>203</v>
      </c>
    </row>
    <row r="18" customFormat="false" ht="15" hidden="false" customHeight="false" outlineLevel="0" collapsed="false">
      <c r="A18" s="8" t="s">
        <v>204</v>
      </c>
      <c r="B18" s="11" t="n">
        <f aca="false">INDEX('Scenario Engine'!$W$35:$W$42,MATCH('Scenario Engine'!$B$4,'Scenario Engine'!$A$35:$A$42,0))</f>
        <v>0</v>
      </c>
      <c r="C18" s="8" t="s">
        <v>177</v>
      </c>
      <c r="D18" s="8" t="s">
        <v>205</v>
      </c>
    </row>
    <row r="19" customFormat="false" ht="15" hidden="false" customHeight="false" outlineLevel="0" collapsed="false">
      <c r="A19" s="8" t="s">
        <v>206</v>
      </c>
      <c r="B19" s="11" t="n">
        <f aca="false">B16+B17+B18</f>
        <v>40670</v>
      </c>
      <c r="C19" s="8" t="s">
        <v>188</v>
      </c>
      <c r="D19" s="8" t="s">
        <v>207</v>
      </c>
    </row>
  </sheetData>
  <sheetProtection sheet="true" password="cc2a" selectUnlockedCells="true"/>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36"/>
    <col collapsed="false" customWidth="true" hidden="false" outlineLevel="0" max="4" min="4" style="0" width="42"/>
    <col collapsed="false" customWidth="true" hidden="false" outlineLevel="0" max="6" min="5" style="0" width="18"/>
  </cols>
  <sheetData>
    <row r="1" customFormat="false" ht="27.75" hidden="false" customHeight="true" outlineLevel="0" collapsed="false">
      <c r="A1" s="1" t="s">
        <v>208</v>
      </c>
      <c r="B1" s="1"/>
      <c r="C1" s="1"/>
      <c r="D1" s="1"/>
      <c r="E1" s="1"/>
      <c r="F1" s="1"/>
    </row>
    <row r="2" customFormat="false" ht="31.5" hidden="false" customHeight="true" outlineLevel="0" collapsed="false">
      <c r="A2" s="2" t="s">
        <v>209</v>
      </c>
      <c r="B2" s="2"/>
      <c r="C2" s="2"/>
      <c r="D2" s="2"/>
      <c r="E2" s="2"/>
      <c r="F2" s="2"/>
    </row>
    <row r="3" customFormat="false" ht="15" hidden="false" customHeight="false" outlineLevel="0" collapsed="false">
      <c r="A3" s="7" t="s">
        <v>174</v>
      </c>
      <c r="B3" s="7" t="s">
        <v>45</v>
      </c>
      <c r="C3" s="7" t="s">
        <v>210</v>
      </c>
      <c r="D3" s="7" t="s">
        <v>211</v>
      </c>
    </row>
    <row r="4" customFormat="false" ht="35.05" hidden="false" customHeight="false" outlineLevel="0" collapsed="false">
      <c r="A4" s="8" t="s">
        <v>58</v>
      </c>
      <c r="B4" s="8" t="str">
        <f aca="false">'Scenario Engine'!$D$16</f>
        <v>C9399/NOC</v>
      </c>
      <c r="C4" s="8" t="s">
        <v>212</v>
      </c>
      <c r="D4" s="8" t="s">
        <v>213</v>
      </c>
    </row>
    <row r="5" customFormat="false" ht="57.45" hidden="false" customHeight="false" outlineLevel="0" collapsed="false">
      <c r="A5" s="8" t="s">
        <v>60</v>
      </c>
      <c r="B5" s="8" t="str">
        <f aca="false">'Scenario Engine'!$D$17</f>
        <v>OPPS pass-through active</v>
      </c>
      <c r="C5" s="8" t="s">
        <v>214</v>
      </c>
      <c r="D5" s="8" t="s">
        <v>215</v>
      </c>
    </row>
    <row r="6" customFormat="false" ht="23.85" hidden="false" customHeight="false" outlineLevel="0" collapsed="false">
      <c r="A6" s="8" t="s">
        <v>216</v>
      </c>
      <c r="B6" s="8" t="s">
        <v>217</v>
      </c>
      <c r="C6" s="8" t="s">
        <v>218</v>
      </c>
      <c r="D6" s="8" t="s">
        <v>219</v>
      </c>
    </row>
    <row r="7" customFormat="false" ht="23.85" hidden="false" customHeight="false" outlineLevel="0" collapsed="false">
      <c r="A7" s="8" t="s">
        <v>220</v>
      </c>
      <c r="B7" s="8" t="str">
        <f aca="false">IF(AND('Scenario Engine'!$D$11="Physician office",'Scenario Engine'!$D$17="Pre-ASP WAC benchmark"),"Physician office pre-ASP WAC x 103% only",IF('Scenario Engine'!$D$17="ASP available","ASP branch",IF('Scenario Engine'!$D$17="OPPS pass-through active","OPPS pass-through branch if granted/effective",'Scenario Engine'!$D$17)))</f>
        <v>OPPS pass-through branch if granted/effective</v>
      </c>
      <c r="C7" s="8" t="s">
        <v>221</v>
      </c>
      <c r="D7" s="8" t="s">
        <v>222</v>
      </c>
    </row>
    <row r="8" customFormat="false" ht="23.85" hidden="false" customHeight="false" outlineLevel="0" collapsed="false">
      <c r="A8" s="8" t="s">
        <v>223</v>
      </c>
      <c r="B8" s="8" t="str">
        <f aca="false">IF('Scenario Engine'!$D$14="Commercial","Contract/manual pricing; do not default to Medicare","Not commercial")</f>
        <v>Not commercial</v>
      </c>
      <c r="C8" s="8" t="s">
        <v>221</v>
      </c>
      <c r="D8" s="8" t="s">
        <v>224</v>
      </c>
    </row>
    <row r="9" customFormat="false" ht="15" hidden="false" customHeight="false" outlineLevel="0" collapsed="false">
      <c r="A9" s="8" t="s">
        <v>225</v>
      </c>
      <c r="B9" s="8" t="str">
        <f aca="false">IF(OR('Scenario Engine'!$D$14="Medicaid FFS",'Scenario Engine'!$D$14="Medicaid MCO"),'Scenario Engine'!$D$14&amp;" - state/plan-specific with PAD/NDC checks","Not Medicaid")</f>
        <v>Not Medicaid</v>
      </c>
      <c r="C9" s="8" t="s">
        <v>221</v>
      </c>
      <c r="D9" s="8" t="s">
        <v>226</v>
      </c>
    </row>
  </sheetData>
  <sheetProtection sheet="true" password="cc2a" selectUnlockedCells="true"/>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3" min="2" style="0" width="34"/>
    <col collapsed="false" customWidth="true" hidden="false" outlineLevel="0" max="4" min="4" style="0" width="42"/>
    <col collapsed="false" customWidth="true" hidden="false" outlineLevel="0" max="6" min="5" style="0" width="18"/>
  </cols>
  <sheetData>
    <row r="1" customFormat="false" ht="27.75" hidden="false" customHeight="true" outlineLevel="0" collapsed="false">
      <c r="A1" s="1" t="s">
        <v>227</v>
      </c>
      <c r="B1" s="1"/>
      <c r="C1" s="1"/>
      <c r="D1" s="1"/>
      <c r="E1" s="1"/>
      <c r="F1" s="1"/>
    </row>
    <row r="2" customFormat="false" ht="31.5" hidden="false" customHeight="true" outlineLevel="0" collapsed="false">
      <c r="A2" s="2" t="s">
        <v>228</v>
      </c>
      <c r="B2" s="2"/>
      <c r="C2" s="2"/>
      <c r="D2" s="2"/>
      <c r="E2" s="2"/>
      <c r="F2" s="2"/>
    </row>
    <row r="3" customFormat="false" ht="15" hidden="false" customHeight="false" outlineLevel="0" collapsed="false">
      <c r="A3" s="7" t="s">
        <v>174</v>
      </c>
      <c r="B3" s="7" t="s">
        <v>45</v>
      </c>
      <c r="C3" s="7" t="s">
        <v>176</v>
      </c>
      <c r="D3" s="7" t="s">
        <v>47</v>
      </c>
    </row>
    <row r="4" customFormat="false" ht="15" hidden="false" customHeight="false" outlineLevel="0" collapsed="false">
      <c r="A4" s="8" t="s">
        <v>48</v>
      </c>
      <c r="B4" s="8" t="str">
        <f aca="false">'Scenario Engine'!$D$11</f>
        <v>HOPD</v>
      </c>
      <c r="C4" s="8" t="s">
        <v>229</v>
      </c>
      <c r="D4" s="8" t="s">
        <v>230</v>
      </c>
    </row>
    <row r="5" customFormat="false" ht="23.85" hidden="false" customHeight="false" outlineLevel="0" collapsed="false">
      <c r="A5" s="8" t="s">
        <v>50</v>
      </c>
      <c r="B5" s="8" t="str">
        <f aca="false">'Scenario Engine'!$D$12</f>
        <v>COE</v>
      </c>
      <c r="C5" s="8" t="s">
        <v>229</v>
      </c>
      <c r="D5" s="8" t="s">
        <v>231</v>
      </c>
    </row>
    <row r="6" customFormat="false" ht="15" hidden="false" customHeight="false" outlineLevel="0" collapsed="false">
      <c r="A6" s="8" t="s">
        <v>52</v>
      </c>
      <c r="B6" s="8" t="str">
        <f aca="false">'Scenario Engine'!$D$13</f>
        <v>Yes</v>
      </c>
      <c r="C6" s="8" t="s">
        <v>229</v>
      </c>
      <c r="D6" s="8" t="s">
        <v>232</v>
      </c>
    </row>
    <row r="7" customFormat="false" ht="23.85" hidden="false" customHeight="false" outlineLevel="0" collapsed="false">
      <c r="A7" s="8" t="s">
        <v>54</v>
      </c>
      <c r="B7" s="8" t="str">
        <f aca="false">'Scenario Engine'!$D$14</f>
        <v>Medicare</v>
      </c>
      <c r="C7" s="8" t="s">
        <v>229</v>
      </c>
      <c r="D7" s="8" t="s">
        <v>233</v>
      </c>
    </row>
    <row r="8" customFormat="false" ht="15" hidden="false" customHeight="false" outlineLevel="0" collapsed="false">
      <c r="A8" s="8" t="s">
        <v>56</v>
      </c>
      <c r="B8" s="8" t="str">
        <f aca="false">'Scenario Engine'!$D$15</f>
        <v>Buy-and-bill</v>
      </c>
      <c r="C8" s="8" t="s">
        <v>229</v>
      </c>
      <c r="D8" s="8" t="s">
        <v>234</v>
      </c>
    </row>
    <row r="9" customFormat="false" ht="23.85" hidden="false" customHeight="false" outlineLevel="0" collapsed="false">
      <c r="A9" s="8" t="s">
        <v>235</v>
      </c>
      <c r="B9" s="8" t="str">
        <f aca="false">IF(OR(B8="White-bagging",B8="Specialty pharmacy"),"Drug reimbursement/spread set to zero unless payer-specific value is entered","Buy-and-bill or mixed pathway")</f>
        <v>Buy-and-bill or mixed pathway</v>
      </c>
      <c r="C9" s="8" t="s">
        <v>188</v>
      </c>
      <c r="D9" s="8" t="s">
        <v>236</v>
      </c>
    </row>
    <row r="10" customFormat="false" ht="57.75" hidden="false" customHeight="true" outlineLevel="0" collapsed="false">
      <c r="A10" s="8" t="s">
        <v>237</v>
      </c>
      <c r="B10" s="8" t="s">
        <v>238</v>
      </c>
      <c r="C10" s="8" t="s">
        <v>239</v>
      </c>
      <c r="D10" s="8" t="s">
        <v>240</v>
      </c>
    </row>
  </sheetData>
  <sheetProtection sheet="true" password="cc2a" selectUnlockedCells="true"/>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26"/>
    <col collapsed="false" customWidth="true" hidden="false" outlineLevel="0" max="4" min="4" style="0" width="48"/>
    <col collapsed="false" customWidth="true" hidden="false" outlineLevel="0" max="6" min="5" style="0" width="18"/>
  </cols>
  <sheetData>
    <row r="1" customFormat="false" ht="27.75" hidden="false" customHeight="true" outlineLevel="0" collapsed="false">
      <c r="A1" s="1" t="s">
        <v>241</v>
      </c>
      <c r="B1" s="1"/>
      <c r="C1" s="1"/>
      <c r="D1" s="1"/>
      <c r="E1" s="1"/>
      <c r="F1" s="1"/>
    </row>
    <row r="2" customFormat="false" ht="31.5" hidden="false" customHeight="true" outlineLevel="0" collapsed="false">
      <c r="A2" s="2" t="s">
        <v>242</v>
      </c>
      <c r="B2" s="2"/>
      <c r="C2" s="2"/>
      <c r="D2" s="2"/>
      <c r="E2" s="2"/>
      <c r="F2" s="2"/>
    </row>
    <row r="3" customFormat="false" ht="15" hidden="false" customHeight="false" outlineLevel="0" collapsed="false">
      <c r="A3" s="7" t="s">
        <v>174</v>
      </c>
      <c r="B3" s="7" t="s">
        <v>175</v>
      </c>
      <c r="C3" s="7" t="s">
        <v>176</v>
      </c>
      <c r="D3" s="7" t="s">
        <v>47</v>
      </c>
    </row>
    <row r="4" customFormat="false" ht="15" hidden="false" customHeight="false" outlineLevel="0" collapsed="false">
      <c r="A4" s="8" t="s">
        <v>243</v>
      </c>
      <c r="B4" s="11" t="n">
        <f aca="false">INDEX('Scenario Engine'!$X$35:$X$42,MATCH('Scenario Engine'!$B$4,'Scenario Engine'!$A$35:$A$42,0))</f>
        <v>400</v>
      </c>
      <c r="C4" s="8" t="s">
        <v>177</v>
      </c>
      <c r="D4" s="8" t="s">
        <v>244</v>
      </c>
    </row>
    <row r="5" customFormat="false" ht="15" hidden="false" customHeight="false" outlineLevel="0" collapsed="false">
      <c r="A5" s="8" t="s">
        <v>245</v>
      </c>
      <c r="B5" s="11" t="n">
        <f aca="false">INDEX('Scenario Engine'!$Y$35:$Y$42,MATCH('Scenario Engine'!$B$4,'Scenario Engine'!$A$35:$A$42,0))</f>
        <v>750</v>
      </c>
      <c r="C5" s="8" t="s">
        <v>177</v>
      </c>
      <c r="D5" s="8" t="s">
        <v>244</v>
      </c>
    </row>
    <row r="6" customFormat="false" ht="15" hidden="false" customHeight="false" outlineLevel="0" collapsed="false">
      <c r="A6" s="8" t="s">
        <v>246</v>
      </c>
      <c r="B6" s="11" t="n">
        <f aca="false">INDEX('Scenario Engine'!$Z$35:$Z$42,MATCH('Scenario Engine'!$B$4,'Scenario Engine'!$A$35:$A$42,0))</f>
        <v>300</v>
      </c>
      <c r="C6" s="8" t="s">
        <v>177</v>
      </c>
      <c r="D6" s="8" t="s">
        <v>244</v>
      </c>
    </row>
    <row r="7" customFormat="false" ht="23.85" hidden="false" customHeight="false" outlineLevel="0" collapsed="false">
      <c r="A7" s="8" t="s">
        <v>247</v>
      </c>
      <c r="B7" s="11" t="n">
        <f aca="false">SUM(B4:B6)</f>
        <v>1450</v>
      </c>
      <c r="C7" s="8" t="s">
        <v>188</v>
      </c>
      <c r="D7" s="8" t="s">
        <v>248</v>
      </c>
    </row>
    <row r="8" customFormat="false" ht="15" hidden="false" customHeight="false" outlineLevel="0" collapsed="false">
      <c r="A8" s="8" t="s">
        <v>91</v>
      </c>
      <c r="B8" s="12" t="n">
        <f aca="false">INDEX('Scenario Engine'!$AA$35:$AA$42,MATCH('Scenario Engine'!$B$4,'Scenario Engine'!$A$35:$A$42,0))</f>
        <v>0.075</v>
      </c>
      <c r="C8" s="8" t="s">
        <v>177</v>
      </c>
      <c r="D8" s="8" t="s">
        <v>249</v>
      </c>
    </row>
    <row r="9" customFormat="false" ht="15" hidden="false" customHeight="false" outlineLevel="0" collapsed="false">
      <c r="A9" s="8" t="s">
        <v>92</v>
      </c>
      <c r="B9" s="12" t="n">
        <f aca="false">INDEX('Scenario Engine'!$AB$35:$AB$42,MATCH('Scenario Engine'!$B$4,'Scenario Engine'!$A$35:$A$42,0))</f>
        <v>0.6</v>
      </c>
      <c r="C9" s="8" t="s">
        <v>177</v>
      </c>
      <c r="D9" s="8" t="s">
        <v>250</v>
      </c>
    </row>
    <row r="10" customFormat="false" ht="15" hidden="false" customHeight="false" outlineLevel="0" collapsed="false">
      <c r="A10" s="8" t="s">
        <v>93</v>
      </c>
      <c r="B10" s="8" t="n">
        <f aca="false">INDEX('Scenario Engine'!$AC$35:$AC$42,MATCH('Scenario Engine'!$B$4,'Scenario Engine'!$A$35:$A$42,0))</f>
        <v>75</v>
      </c>
      <c r="C10" s="8" t="s">
        <v>177</v>
      </c>
      <c r="D10" s="8" t="s">
        <v>251</v>
      </c>
    </row>
    <row r="11" customFormat="false" ht="15" hidden="false" customHeight="false" outlineLevel="0" collapsed="false">
      <c r="A11" s="8" t="s">
        <v>94</v>
      </c>
      <c r="B11" s="12" t="n">
        <f aca="false">INDEX('Scenario Engine'!$AD$35:$AD$42,MATCH('Scenario Engine'!$B$4,'Scenario Engine'!$A$35:$A$42,0))</f>
        <v>0.08</v>
      </c>
      <c r="C11" s="8" t="s">
        <v>177</v>
      </c>
      <c r="D11" s="8" t="s">
        <v>252</v>
      </c>
    </row>
    <row r="12" customFormat="false" ht="15" hidden="false" customHeight="false" outlineLevel="0" collapsed="false">
      <c r="A12" s="8" t="s">
        <v>253</v>
      </c>
      <c r="B12" s="11" t="n">
        <f aca="false">'Product Economics'!B19*B8*(1-B9)</f>
        <v>1220.1</v>
      </c>
      <c r="C12" s="8" t="s">
        <v>188</v>
      </c>
      <c r="D12" s="8" t="s">
        <v>254</v>
      </c>
    </row>
    <row r="13" customFormat="false" ht="23.85" hidden="false" customHeight="false" outlineLevel="0" collapsed="false">
      <c r="A13" s="8" t="s">
        <v>255</v>
      </c>
      <c r="B13" s="11" t="n">
        <f aca="false">'Product Economics'!B14*B11*(B10/365)</f>
        <v>493.002739726027</v>
      </c>
      <c r="C13" s="8" t="s">
        <v>188</v>
      </c>
      <c r="D13" s="8" t="s">
        <v>256</v>
      </c>
    </row>
  </sheetData>
  <sheetProtection sheet="true" password="cc2a" selectUnlockedCells="true"/>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3" min="3" style="0" width="28"/>
    <col collapsed="false" customWidth="true" hidden="false" outlineLevel="0" max="4" min="4" style="0" width="48"/>
    <col collapsed="false" customWidth="true" hidden="false" outlineLevel="0" max="7" min="5" style="0" width="16"/>
  </cols>
  <sheetData>
    <row r="1" customFormat="false" ht="27.75" hidden="false" customHeight="true" outlineLevel="0" collapsed="false">
      <c r="A1" s="1" t="s">
        <v>257</v>
      </c>
      <c r="B1" s="1"/>
      <c r="C1" s="1"/>
      <c r="D1" s="1"/>
      <c r="E1" s="1"/>
      <c r="F1" s="1"/>
      <c r="G1" s="1"/>
    </row>
    <row r="2" customFormat="false" ht="31.5" hidden="false" customHeight="true" outlineLevel="0" collapsed="false">
      <c r="A2" s="2" t="s">
        <v>258</v>
      </c>
      <c r="B2" s="2"/>
      <c r="C2" s="2"/>
      <c r="D2" s="2"/>
      <c r="E2" s="2"/>
      <c r="F2" s="2"/>
      <c r="G2" s="2"/>
    </row>
    <row r="3" customFormat="false" ht="15" hidden="false" customHeight="false" outlineLevel="0" collapsed="false">
      <c r="A3" s="7" t="s">
        <v>259</v>
      </c>
      <c r="B3" s="7" t="s">
        <v>175</v>
      </c>
      <c r="C3" s="7" t="s">
        <v>260</v>
      </c>
      <c r="D3" s="7" t="s">
        <v>47</v>
      </c>
    </row>
    <row r="4" customFormat="false" ht="35.05" hidden="false" customHeight="false" outlineLevel="0" collapsed="false">
      <c r="A4" s="8" t="s">
        <v>261</v>
      </c>
      <c r="B4" s="13" t="s">
        <v>262</v>
      </c>
      <c r="C4" s="8" t="s">
        <v>102</v>
      </c>
      <c r="D4" s="8" t="s">
        <v>263</v>
      </c>
    </row>
    <row r="5" customFormat="false" ht="15" hidden="false" customHeight="false" outlineLevel="0" collapsed="false">
      <c r="A5" s="8" t="s">
        <v>264</v>
      </c>
      <c r="B5" s="13" t="s">
        <v>107</v>
      </c>
      <c r="C5" s="8" t="s">
        <v>102</v>
      </c>
      <c r="D5" s="8" t="s">
        <v>265</v>
      </c>
    </row>
    <row r="6" customFormat="false" ht="15" hidden="false" customHeight="false" outlineLevel="0" collapsed="false">
      <c r="A6" s="8" t="s">
        <v>266</v>
      </c>
      <c r="B6" s="14" t="n">
        <v>46143</v>
      </c>
      <c r="C6" s="8" t="s">
        <v>102</v>
      </c>
      <c r="D6" s="8" t="s">
        <v>267</v>
      </c>
    </row>
    <row r="7" customFormat="false" ht="15" hidden="false" customHeight="false" outlineLevel="0" collapsed="false">
      <c r="A7" s="8" t="s">
        <v>268</v>
      </c>
      <c r="B7" s="14" t="n">
        <v>46387</v>
      </c>
      <c r="C7" s="8" t="s">
        <v>102</v>
      </c>
      <c r="D7" s="8" t="s">
        <v>269</v>
      </c>
    </row>
    <row r="8" customFormat="false" ht="23.85" hidden="false" customHeight="false" outlineLevel="0" collapsed="false">
      <c r="A8" s="8" t="s">
        <v>270</v>
      </c>
      <c r="B8" s="10" t="n">
        <v>26</v>
      </c>
      <c r="C8" s="8" t="s">
        <v>102</v>
      </c>
      <c r="D8" s="8" t="s">
        <v>271</v>
      </c>
    </row>
    <row r="9" customFormat="false" ht="15" hidden="false" customHeight="false" outlineLevel="0" collapsed="false">
      <c r="A9" s="8" t="s">
        <v>272</v>
      </c>
      <c r="B9" s="10" t="n">
        <v>900</v>
      </c>
      <c r="C9" s="8" t="s">
        <v>102</v>
      </c>
      <c r="D9" s="8" t="s">
        <v>273</v>
      </c>
    </row>
    <row r="10" customFormat="false" ht="15" hidden="false" customHeight="false" outlineLevel="0" collapsed="false">
      <c r="A10" s="8" t="s">
        <v>274</v>
      </c>
      <c r="B10" s="10" t="s">
        <v>108</v>
      </c>
      <c r="C10" s="8" t="s">
        <v>102</v>
      </c>
      <c r="D10" s="8" t="s">
        <v>275</v>
      </c>
    </row>
    <row r="11" customFormat="false" ht="15" hidden="false" customHeight="false" outlineLevel="0" collapsed="false">
      <c r="A11" s="8" t="s">
        <v>276</v>
      </c>
      <c r="B11" s="13" t="s">
        <v>100</v>
      </c>
      <c r="C11" s="8" t="s">
        <v>102</v>
      </c>
      <c r="D11" s="8" t="s">
        <v>277</v>
      </c>
    </row>
    <row r="12" customFormat="false" ht="15" hidden="false" customHeight="false" outlineLevel="0" collapsed="false">
      <c r="A12" s="8" t="s">
        <v>278</v>
      </c>
      <c r="B12" s="13" t="s">
        <v>104</v>
      </c>
      <c r="C12" s="8" t="s">
        <v>102</v>
      </c>
      <c r="D12" s="8" t="s">
        <v>279</v>
      </c>
    </row>
    <row r="13" customFormat="false" ht="23.85" hidden="false" customHeight="false" outlineLevel="0" collapsed="false">
      <c r="A13" s="8" t="s">
        <v>280</v>
      </c>
      <c r="B13" s="10" t="s">
        <v>281</v>
      </c>
      <c r="C13" s="8" t="s">
        <v>40</v>
      </c>
      <c r="D13" s="8" t="s">
        <v>282</v>
      </c>
    </row>
    <row r="14" customFormat="false" ht="15" hidden="false" customHeight="false" outlineLevel="0" collapsed="false">
      <c r="A14" s="8" t="s">
        <v>283</v>
      </c>
      <c r="B14" s="13" t="s">
        <v>102</v>
      </c>
      <c r="C14" s="8" t="s">
        <v>102</v>
      </c>
      <c r="D14" s="8" t="s">
        <v>284</v>
      </c>
    </row>
    <row r="15" customFormat="false" ht="23.85" hidden="false" customHeight="false" outlineLevel="0" collapsed="false">
      <c r="A15" s="8" t="s">
        <v>285</v>
      </c>
      <c r="B15" s="13" t="s">
        <v>102</v>
      </c>
      <c r="C15" s="8" t="s">
        <v>102</v>
      </c>
      <c r="D15" s="8" t="s">
        <v>286</v>
      </c>
    </row>
    <row r="16" customFormat="false" ht="15" hidden="false" customHeight="false" outlineLevel="0" collapsed="false">
      <c r="A16" s="8" t="s">
        <v>287</v>
      </c>
      <c r="B16" s="13" t="s">
        <v>102</v>
      </c>
      <c r="C16" s="8" t="s">
        <v>102</v>
      </c>
      <c r="D16" s="8" t="s">
        <v>288</v>
      </c>
    </row>
    <row r="17" customFormat="false" ht="15" hidden="false" customHeight="false" outlineLevel="0" collapsed="false">
      <c r="A17" s="8" t="s">
        <v>289</v>
      </c>
      <c r="B17" s="13" t="s">
        <v>102</v>
      </c>
      <c r="C17" s="8" t="s">
        <v>102</v>
      </c>
      <c r="D17" s="8" t="s">
        <v>290</v>
      </c>
    </row>
    <row r="18" customFormat="false" ht="15" hidden="false" customHeight="false" outlineLevel="0" collapsed="false">
      <c r="A18" s="8" t="s">
        <v>291</v>
      </c>
      <c r="B18" s="13" t="s">
        <v>102</v>
      </c>
      <c r="C18" s="8" t="s">
        <v>102</v>
      </c>
      <c r="D18" s="8" t="s">
        <v>292</v>
      </c>
    </row>
    <row r="19" customFormat="false" ht="15" hidden="false" customHeight="false" outlineLevel="0" collapsed="false">
      <c r="A19" s="8" t="s">
        <v>293</v>
      </c>
      <c r="B19" s="10"/>
      <c r="C19" s="8" t="s">
        <v>294</v>
      </c>
      <c r="D19" s="8" t="s">
        <v>295</v>
      </c>
    </row>
    <row r="20" customFormat="false" ht="15" hidden="false" customHeight="false" outlineLevel="0" collapsed="false">
      <c r="A20" s="8" t="s">
        <v>296</v>
      </c>
      <c r="B20" s="13" t="s">
        <v>112</v>
      </c>
      <c r="C20" s="8" t="s">
        <v>294</v>
      </c>
      <c r="D20" s="8" t="s">
        <v>297</v>
      </c>
    </row>
    <row r="21" customFormat="false" ht="15" hidden="false" customHeight="false" outlineLevel="0" collapsed="false">
      <c r="A21" s="8" t="s">
        <v>298</v>
      </c>
      <c r="B21" s="10"/>
      <c r="C21" s="8" t="s">
        <v>294</v>
      </c>
      <c r="D21" s="8" t="s">
        <v>299</v>
      </c>
    </row>
    <row r="22" customFormat="false" ht="15" hidden="false" customHeight="false" outlineLevel="0" collapsed="false">
      <c r="A22" s="8" t="s">
        <v>300</v>
      </c>
      <c r="B22" s="10"/>
      <c r="C22" s="8" t="s">
        <v>294</v>
      </c>
      <c r="D22" s="8" t="s">
        <v>301</v>
      </c>
    </row>
    <row r="23" customFormat="false" ht="15" hidden="false" customHeight="false" outlineLevel="0" collapsed="false">
      <c r="A23" s="8" t="s">
        <v>74</v>
      </c>
      <c r="B23" s="10" t="s">
        <v>111</v>
      </c>
      <c r="C23" s="8" t="s">
        <v>102</v>
      </c>
      <c r="D23" s="8" t="s">
        <v>302</v>
      </c>
    </row>
    <row r="24" customFormat="false" ht="15" hidden="false" customHeight="false" outlineLevel="0" collapsed="false">
      <c r="A24" s="8" t="s">
        <v>303</v>
      </c>
      <c r="B24" s="10" t="s">
        <v>113</v>
      </c>
      <c r="C24" s="8" t="s">
        <v>304</v>
      </c>
      <c r="D24" s="8" t="s">
        <v>305</v>
      </c>
    </row>
    <row r="25" customFormat="false" ht="15" hidden="false" customHeight="false" outlineLevel="0" collapsed="false">
      <c r="A25" s="8" t="s">
        <v>306</v>
      </c>
      <c r="B25" s="10" t="s">
        <v>307</v>
      </c>
      <c r="C25" s="8" t="s">
        <v>308</v>
      </c>
      <c r="D25" s="8" t="s">
        <v>309</v>
      </c>
    </row>
    <row r="26" customFormat="false" ht="15" hidden="false" customHeight="false" outlineLevel="0" collapsed="false">
      <c r="A26" s="8" t="s">
        <v>310</v>
      </c>
      <c r="B26" s="13" t="s">
        <v>112</v>
      </c>
      <c r="C26" s="8" t="s">
        <v>311</v>
      </c>
      <c r="D26" s="8" t="s">
        <v>312</v>
      </c>
    </row>
    <row r="27" customFormat="false" ht="15" hidden="false" customHeight="false" outlineLevel="0" collapsed="false">
      <c r="A27" s="8" t="s">
        <v>313</v>
      </c>
      <c r="B27" s="13" t="s">
        <v>102</v>
      </c>
      <c r="C27" s="8" t="s">
        <v>314</v>
      </c>
      <c r="D27" s="8" t="s">
        <v>315</v>
      </c>
    </row>
    <row r="28" customFormat="false" ht="23.85" hidden="false" customHeight="false" outlineLevel="0" collapsed="false">
      <c r="A28" s="8" t="s">
        <v>316</v>
      </c>
      <c r="B28" s="10" t="s">
        <v>102</v>
      </c>
      <c r="C28" s="8" t="s">
        <v>314</v>
      </c>
      <c r="D28" s="8" t="s">
        <v>317</v>
      </c>
    </row>
    <row r="29" customFormat="false" ht="23.85" hidden="false" customHeight="false" outlineLevel="0" collapsed="false">
      <c r="A29" s="8" t="s">
        <v>318</v>
      </c>
      <c r="B29" s="10" t="s">
        <v>319</v>
      </c>
      <c r="C29" s="8" t="s">
        <v>314</v>
      </c>
      <c r="D29" s="8" t="s">
        <v>320</v>
      </c>
    </row>
    <row r="30" customFormat="false" ht="15" hidden="false" customHeight="false" outlineLevel="0" collapsed="false">
      <c r="A30" s="8" t="s">
        <v>321</v>
      </c>
      <c r="B30" s="13" t="s">
        <v>112</v>
      </c>
      <c r="C30" s="8" t="s">
        <v>322</v>
      </c>
      <c r="D30" s="8" t="s">
        <v>323</v>
      </c>
    </row>
    <row r="31" customFormat="false" ht="23.85" hidden="false" customHeight="false" outlineLevel="0" collapsed="false">
      <c r="A31" s="8" t="s">
        <v>324</v>
      </c>
      <c r="B31" s="13" t="s">
        <v>325</v>
      </c>
      <c r="C31" s="8" t="s">
        <v>308</v>
      </c>
      <c r="D31" s="8" t="s">
        <v>326</v>
      </c>
    </row>
    <row r="34" customFormat="false" ht="15" hidden="false" customHeight="false" outlineLevel="0" collapsed="false">
      <c r="A34" s="15" t="s">
        <v>327</v>
      </c>
      <c r="B34" s="8" t="str">
        <f aca="false">IF(B4="Not started","PA not initiated - economics not actionable.",IF(B4="Submitted/pending","PA pending - reimbursement scenario not yet executable.",IF(B4="Denied/appeal","PA unresolved - economic result not reliable.",IF(B4="Reauthorization pending","Reauthorization pending - do not calculate beyond current authorization window.","PA approved status present."))))</f>
        <v>PA approved status present.</v>
      </c>
    </row>
    <row r="35" customFormat="false" ht="15" hidden="false" customHeight="false" outlineLevel="0" collapsed="false">
      <c r="A35" s="8" t="s">
        <v>328</v>
      </c>
      <c r="B35" s="16" t="b">
        <f aca="false">OR(B4="Approved",B4="Reauthorization approved")</f>
        <v>1</v>
      </c>
    </row>
    <row r="36" customFormat="false" ht="15" hidden="false" customHeight="false" outlineLevel="0" collapsed="false">
      <c r="A36" s="8" t="s">
        <v>329</v>
      </c>
      <c r="B36" s="16" t="b">
        <f aca="true">AND(B35,B9='Scenario Engine'!$D$19,B10='Scenario Engine'!$D$20,B11='Scenario Engine'!$D$11,B12='Scenario Engine'!$D$15,B7&gt;=TODAY(),B8&gt;0)</f>
        <v>1</v>
      </c>
    </row>
    <row r="37" customFormat="false" ht="15" hidden="false" customHeight="false" outlineLevel="0" collapsed="false">
      <c r="A37" s="8" t="s">
        <v>330</v>
      </c>
      <c r="B37" s="8" t="str">
        <f aca="false">IF(B36,"", "Authorization exists, but approval scope does not match the selected reimbursement scenario. Economic output should not be used until dose, frequency, site of care, sourcing pathway, and authorization period are aligned.")</f>
        <v/>
      </c>
    </row>
    <row r="38" customFormat="false" ht="15" hidden="false" customHeight="false" outlineLevel="0" collapsed="false">
      <c r="A38" s="8" t="s">
        <v>331</v>
      </c>
      <c r="B38" s="16" t="b">
        <f aca="false">IF(OR('Scenario Engine'!$D$14="Medicaid FFS",'Scenario Engine'!$D$14="Medicaid MCO"),AND(B19&lt;&gt;"",B20="Yes",B21&lt;&gt;"",B22&lt;&gt;"",B23&lt;&gt;"",IF('Scenario Engine'!$D$14="Medicaid MCO",B26="Yes",TRUE())),TRUE())</f>
        <v>1</v>
      </c>
    </row>
    <row r="39" customFormat="false" ht="15" hidden="false" customHeight="false" outlineLevel="0" collapsed="false">
      <c r="A39" s="8" t="s">
        <v>332</v>
      </c>
      <c r="B39" s="16" t="b">
        <f aca="false">IF(AND(OR('Scenario Engine'!$D$14="Medicaid FFS",'Scenario Engine'!$D$14="Medicaid MCO"),'Scenario Engine'!$D$13="Yes"),B30="Yes",TRUE())</f>
        <v>1</v>
      </c>
    </row>
    <row r="40" customFormat="false" ht="23.85" hidden="false" customHeight="false" outlineLevel="0" collapsed="false">
      <c r="A40" s="8" t="s">
        <v>333</v>
      </c>
      <c r="B40" s="8" t="str">
        <f aca="false">IF(NOT(B35),B34,IF(NOT(B36),"Not modellable - approval scope mismatch",IF(NOT(B38),"Not modellable - Medicaid/PAD fields unresolved",IF(NOT(B39),"Not modellable - 340B Medicaid duplicate-discount unresolved","Approved scope matches modeled scenario - economics calculated"))))</f>
        <v>Approved scope matches modeled scenario - economics calculated</v>
      </c>
    </row>
    <row r="41" customFormat="false" ht="15" hidden="false" customHeight="false" outlineLevel="0" collapsed="false">
      <c r="A41" s="8" t="s">
        <v>334</v>
      </c>
      <c r="B41" s="17" t="b">
        <f aca="false">AND(B35,B36,B38,B39)</f>
        <v>1</v>
      </c>
    </row>
    <row r="42" customFormat="false" ht="15" hidden="false" customHeight="false" outlineLevel="0" collapsed="false">
      <c r="A42" s="8" t="s">
        <v>335</v>
      </c>
      <c r="B42" s="8" t="str">
        <f aca="false">IF(AND(B41,B8&lt;'Product Economics'!B8),"Projected only through currently authorized treatment window.","")</f>
        <v/>
      </c>
    </row>
  </sheetData>
  <sheetProtection sheet="true" password="cc2a" selectUnlockedCells="true"/>
  <mergeCells count="2">
    <mergeCell ref="A1:G1"/>
    <mergeCell ref="A2:G2"/>
  </mergeCells>
  <conditionalFormatting sqref="B41">
    <cfRule type="cellIs" priority="2" operator="equal" aboveAverage="0" equalAverage="0" bottom="0" percent="0" rank="0" text="" dxfId="4">
      <formula>0</formula>
    </cfRule>
  </conditionalFormatting>
  <dataValidations count="9">
    <dataValidation allowBlank="true" error="Select an approved value from the list." errorStyle="stop" errorTitle="Invalid selection" operator="between" showDropDown="false" showErrorMessage="false" showInputMessage="false" sqref="B14:B18" type="list">
      <formula1>"Yes,No,Unknown,Not applicable"</formula1>
      <formula2>0</formula2>
    </dataValidation>
    <dataValidation allowBlank="true" error="Select an approved value from the list." errorStyle="stop" errorTitle="Invalid selection" operator="between" showDropDown="false" showErrorMessage="false" showInputMessage="false" sqref="B20" type="list">
      <formula1>"Yes,No,Unknown,Not applicable"</formula1>
      <formula2>0</formula2>
    </dataValidation>
    <dataValidation allowBlank="true" error="Select an approved value from the list." errorStyle="stop" errorTitle="Invalid selection" operator="between" showDropDown="false" showErrorMessage="false" showInputMessage="false" sqref="B26" type="list">
      <formula1>"Yes,No,Unknown,Not applicable"</formula1>
      <formula2>0</formula2>
    </dataValidation>
    <dataValidation allowBlank="true" error="Select an approved value from the list." errorStyle="stop" errorTitle="Invalid selection" operator="between" showDropDown="false" showErrorMessage="false" showInputMessage="false" sqref="B27" type="list">
      <formula1>"Yes,No,Unknown,Not applicable"</formula1>
      <formula2>0</formula2>
    </dataValidation>
    <dataValidation allowBlank="true" error="Select an approved value from the list." errorStyle="stop" errorTitle="Invalid selection" operator="between" showDropDown="false" showErrorMessage="false" showInputMessage="false" sqref="B30:B31" type="list">
      <formula1>"Yes,No,Unknown,Not applicable"</formula1>
      <formula2>0</formula2>
    </dataValidation>
    <dataValidation allowBlank="true" error="Select an approved value from the list." errorStyle="stop" errorTitle="Invalid selection" operator="between" showDropDown="false" showErrorMessage="false" showInputMessage="false" sqref="B4" type="list">
      <formula1>"Not started,Submitted/pending,Denied/appeal,Approved,Reauthorization approved,Reauthorization pending"</formula1>
      <formula2>0</formula2>
    </dataValidation>
    <dataValidation allowBlank="true" error="Select an approved value from the list." errorStyle="stop" errorTitle="Invalid selection" operator="between" showDropDown="false" showErrorMessage="false" showInputMessage="false" sqref="B5" type="list">
      <formula1>"Initial approval,Reauthorization approval"</formula1>
      <formula2>0</formula2>
    </dataValidation>
    <dataValidation allowBlank="true" error="Select an approved value from the list." errorStyle="stop" errorTitle="Invalid selection" operator="between" showDropDown="false" showErrorMessage="false" showInputMessage="false" sqref="B11" type="list">
      <formula1>"HOPD,Physician office,ASC/other,Inpatient exception"</formula1>
      <formula2>0</formula2>
    </dataValidation>
    <dataValidation allowBlank="true" error="Select an approved value from the list." errorStyle="stop" errorTitle="Invalid selection" operator="between" showDropDown="false" showErrorMessage="false" showInputMessage="false" sqref="B12" type="list">
      <formula1>"Buy-and-bill,White-bagging,Specialty pharmacy,Mixed"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24"/>
    <col collapsed="false" customWidth="true" hidden="false" outlineLevel="0" max="3" min="3" style="0" width="28"/>
    <col collapsed="false" customWidth="true" hidden="false" outlineLevel="0" max="4" min="4" style="0" width="48"/>
    <col collapsed="false" customWidth="true" hidden="false" outlineLevel="0" max="6" min="5" style="0" width="18"/>
  </cols>
  <sheetData>
    <row r="1" customFormat="false" ht="27.75" hidden="false" customHeight="true" outlineLevel="0" collapsed="false">
      <c r="A1" s="1" t="s">
        <v>336</v>
      </c>
      <c r="B1" s="1"/>
      <c r="C1" s="1"/>
      <c r="D1" s="1"/>
      <c r="E1" s="1"/>
      <c r="F1" s="1"/>
    </row>
    <row r="2" customFormat="false" ht="31.5" hidden="false" customHeight="true" outlineLevel="0" collapsed="false">
      <c r="A2" s="2" t="s">
        <v>337</v>
      </c>
      <c r="B2" s="2"/>
      <c r="C2" s="2"/>
      <c r="D2" s="2"/>
      <c r="E2" s="2"/>
      <c r="F2" s="2"/>
    </row>
    <row r="3" customFormat="false" ht="15" hidden="false" customHeight="false" outlineLevel="0" collapsed="false">
      <c r="A3" s="7" t="s">
        <v>338</v>
      </c>
      <c r="B3" s="7" t="s">
        <v>175</v>
      </c>
      <c r="C3" s="7" t="s">
        <v>339</v>
      </c>
      <c r="D3" s="7" t="s">
        <v>47</v>
      </c>
    </row>
    <row r="4" customFormat="false" ht="35.05" hidden="false" customHeight="false" outlineLevel="0" collapsed="false">
      <c r="A4" s="8" t="s">
        <v>333</v>
      </c>
      <c r="B4" s="8" t="str">
        <f aca="false">'Payer Controls'!$B$40</f>
        <v>Approved scope matches modeled scenario - economics calculated</v>
      </c>
      <c r="C4" s="8" t="s">
        <v>340</v>
      </c>
      <c r="D4" s="8" t="s">
        <v>341</v>
      </c>
    </row>
    <row r="5" customFormat="false" ht="23.85" hidden="false" customHeight="false" outlineLevel="0" collapsed="false">
      <c r="A5" s="8" t="s">
        <v>334</v>
      </c>
      <c r="B5" s="16" t="b">
        <f aca="false">'Payer Controls'!$B$41</f>
        <v>1</v>
      </c>
      <c r="C5" s="8" t="s">
        <v>340</v>
      </c>
      <c r="D5" s="8" t="s">
        <v>342</v>
      </c>
    </row>
    <row r="6" customFormat="false" ht="15" hidden="false" customHeight="false" outlineLevel="0" collapsed="false">
      <c r="A6" s="8" t="s">
        <v>192</v>
      </c>
      <c r="B6" s="11" t="n">
        <f aca="false">IF($B$5,'Product Economics'!B11,"")</f>
        <v>39000</v>
      </c>
      <c r="C6" s="8" t="s">
        <v>343</v>
      </c>
      <c r="D6" s="8" t="s">
        <v>344</v>
      </c>
    </row>
    <row r="7" customFormat="false" ht="23.85" hidden="false" customHeight="false" outlineLevel="0" collapsed="false">
      <c r="A7" s="8" t="s">
        <v>197</v>
      </c>
      <c r="B7" s="11" t="n">
        <f aca="false">IF($B$5,'Product Economics'!B14,"")</f>
        <v>29991</v>
      </c>
      <c r="C7" s="8" t="s">
        <v>345</v>
      </c>
      <c r="D7" s="8" t="s">
        <v>346</v>
      </c>
    </row>
    <row r="8" customFormat="false" ht="23.85" hidden="false" customHeight="false" outlineLevel="0" collapsed="false">
      <c r="A8" s="8" t="s">
        <v>347</v>
      </c>
      <c r="B8" s="11" t="n">
        <f aca="false">IF($B$5,'Product Economics'!B16,"")</f>
        <v>40170</v>
      </c>
      <c r="C8" s="8" t="s">
        <v>348</v>
      </c>
      <c r="D8" s="8" t="s">
        <v>349</v>
      </c>
    </row>
    <row r="9" customFormat="false" ht="23.85" hidden="false" customHeight="false" outlineLevel="0" collapsed="false">
      <c r="A9" s="8" t="s">
        <v>350</v>
      </c>
      <c r="B9" s="11" t="n">
        <f aca="false">IF($B$5,'Product Economics'!B17+'Product Economics'!B18,"")</f>
        <v>500</v>
      </c>
      <c r="C9" s="8" t="s">
        <v>351</v>
      </c>
      <c r="D9" s="8" t="s">
        <v>352</v>
      </c>
    </row>
    <row r="10" customFormat="false" ht="15" hidden="false" customHeight="false" outlineLevel="0" collapsed="false">
      <c r="A10" s="8" t="s">
        <v>206</v>
      </c>
      <c r="B10" s="11" t="n">
        <f aca="false">IF($B$5,B8+B9,"")</f>
        <v>40670</v>
      </c>
      <c r="C10" s="8" t="s">
        <v>353</v>
      </c>
      <c r="D10" s="8" t="s">
        <v>344</v>
      </c>
    </row>
    <row r="11" customFormat="false" ht="15" hidden="false" customHeight="false" outlineLevel="0" collapsed="false">
      <c r="A11" s="8" t="s">
        <v>247</v>
      </c>
      <c r="B11" s="11" t="n">
        <f aca="false">IF($B$5,'Operating Burden'!B7,"")</f>
        <v>1450</v>
      </c>
      <c r="C11" s="8" t="s">
        <v>354</v>
      </c>
      <c r="D11" s="8" t="s">
        <v>344</v>
      </c>
    </row>
    <row r="12" customFormat="false" ht="23.85" hidden="false" customHeight="false" outlineLevel="0" collapsed="false">
      <c r="A12" s="8" t="s">
        <v>253</v>
      </c>
      <c r="B12" s="11" t="n">
        <f aca="false">IF($B$5,'Operating Burden'!B12,"")</f>
        <v>1220.1</v>
      </c>
      <c r="C12" s="8" t="s">
        <v>355</v>
      </c>
      <c r="D12" s="8" t="s">
        <v>356</v>
      </c>
    </row>
    <row r="13" customFormat="false" ht="23.85" hidden="false" customHeight="false" outlineLevel="0" collapsed="false">
      <c r="A13" s="8" t="s">
        <v>255</v>
      </c>
      <c r="B13" s="11" t="n">
        <f aca="false">IF($B$5,'Operating Burden'!B13,"")</f>
        <v>493.002739726027</v>
      </c>
      <c r="C13" s="8" t="s">
        <v>357</v>
      </c>
      <c r="D13" s="8" t="s">
        <v>358</v>
      </c>
    </row>
    <row r="14" customFormat="false" ht="23.85" hidden="false" customHeight="false" outlineLevel="0" collapsed="false">
      <c r="A14" s="8" t="s">
        <v>359</v>
      </c>
      <c r="B14" s="11" t="n">
        <f aca="false">IF($B$5,B10-B7-B11-B12-B13,"")</f>
        <v>7515.89726027397</v>
      </c>
      <c r="C14" s="8" t="s">
        <v>360</v>
      </c>
      <c r="D14" s="8" t="s">
        <v>361</v>
      </c>
    </row>
    <row r="15" customFormat="false" ht="23.85" hidden="false" customHeight="false" outlineLevel="0" collapsed="false">
      <c r="A15" s="8" t="s">
        <v>362</v>
      </c>
      <c r="B15" s="18" t="n">
        <f aca="false">IF($B$5,MIN('Product Economics'!B8,'Payer Controls'!B8),0)</f>
        <v>26</v>
      </c>
      <c r="C15" s="8" t="s">
        <v>363</v>
      </c>
      <c r="D15" s="8" t="s">
        <v>364</v>
      </c>
    </row>
    <row r="16" customFormat="false" ht="23.85" hidden="false" customHeight="false" outlineLevel="0" collapsed="false">
      <c r="A16" s="8" t="s">
        <v>365</v>
      </c>
      <c r="B16" s="11" t="n">
        <f aca="false">IF($B$5,B6*B15,"")</f>
        <v>1014000</v>
      </c>
      <c r="C16" s="8" t="s">
        <v>366</v>
      </c>
      <c r="D16" s="8"/>
    </row>
    <row r="17" customFormat="false" ht="23.85" hidden="false" customHeight="false" outlineLevel="0" collapsed="false">
      <c r="A17" s="8" t="s">
        <v>367</v>
      </c>
      <c r="B17" s="11" t="n">
        <f aca="false">IF($B$5,B7*B15,"")</f>
        <v>779766</v>
      </c>
      <c r="C17" s="8" t="s">
        <v>366</v>
      </c>
      <c r="D17" s="8"/>
    </row>
    <row r="18" customFormat="false" ht="23.85" hidden="false" customHeight="false" outlineLevel="0" collapsed="false">
      <c r="A18" s="8" t="s">
        <v>368</v>
      </c>
      <c r="B18" s="11" t="n">
        <f aca="false">IF($B$5,B10*B15,"")</f>
        <v>1057420</v>
      </c>
      <c r="C18" s="8" t="s">
        <v>366</v>
      </c>
      <c r="D18" s="8"/>
    </row>
    <row r="19" customFormat="false" ht="23.85" hidden="false" customHeight="false" outlineLevel="0" collapsed="false">
      <c r="A19" s="8" t="s">
        <v>369</v>
      </c>
      <c r="B19" s="11" t="n">
        <f aca="false">IF($B$5,B11*B15,"")</f>
        <v>37700</v>
      </c>
      <c r="C19" s="8" t="s">
        <v>366</v>
      </c>
      <c r="D19" s="8"/>
    </row>
    <row r="20" customFormat="false" ht="23.85" hidden="false" customHeight="false" outlineLevel="0" collapsed="false">
      <c r="A20" s="8" t="s">
        <v>370</v>
      </c>
      <c r="B20" s="11" t="n">
        <f aca="false">IF($B$5,B12*B15,"")</f>
        <v>31722.6</v>
      </c>
      <c r="C20" s="8" t="s">
        <v>366</v>
      </c>
      <c r="D20" s="8"/>
    </row>
    <row r="21" customFormat="false" ht="23.85" hidden="false" customHeight="false" outlineLevel="0" collapsed="false">
      <c r="A21" s="8" t="s">
        <v>371</v>
      </c>
      <c r="B21" s="11" t="n">
        <f aca="false">IF($B$5,B13*B15,"")</f>
        <v>12818.0712328767</v>
      </c>
      <c r="C21" s="8" t="s">
        <v>366</v>
      </c>
      <c r="D21" s="8"/>
    </row>
    <row r="22" customFormat="false" ht="23.85" hidden="false" customHeight="false" outlineLevel="0" collapsed="false">
      <c r="A22" s="8" t="s">
        <v>372</v>
      </c>
      <c r="B22" s="11" t="n">
        <f aca="false">IF($B$5,B14*B15,"")</f>
        <v>195413.328767123</v>
      </c>
      <c r="C22" s="8" t="s">
        <v>366</v>
      </c>
      <c r="D22" s="8" t="s">
        <v>373</v>
      </c>
    </row>
    <row r="23" customFormat="false" ht="23.85" hidden="false" customHeight="false" outlineLevel="0" collapsed="false">
      <c r="A23" s="8" t="s">
        <v>374</v>
      </c>
      <c r="B23" s="8" t="str">
        <f aca="false">'Payer Controls'!$B$42</f>
        <v/>
      </c>
      <c r="C23" s="8" t="s">
        <v>375</v>
      </c>
      <c r="D23" s="8" t="s">
        <v>376</v>
      </c>
    </row>
  </sheetData>
  <sheetProtection sheet="true" password="cc2a" selectUnlockedCells="true"/>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20"/>
    <col collapsed="false" customWidth="true" hidden="false" outlineLevel="0" max="4" min="4" style="0" width="28"/>
    <col collapsed="false" customWidth="true" hidden="false" outlineLevel="0" max="8" min="5" style="0" width="22"/>
  </cols>
  <sheetData>
    <row r="1" customFormat="false" ht="27.75" hidden="false" customHeight="true" outlineLevel="0" collapsed="false">
      <c r="A1" s="1" t="s">
        <v>377</v>
      </c>
      <c r="B1" s="1"/>
      <c r="C1" s="1"/>
      <c r="D1" s="1"/>
      <c r="E1" s="1"/>
      <c r="F1" s="1"/>
      <c r="G1" s="1"/>
      <c r="H1" s="1"/>
    </row>
    <row r="2" customFormat="false" ht="31.5" hidden="false" customHeight="true" outlineLevel="0" collapsed="false">
      <c r="A2" s="2" t="s">
        <v>378</v>
      </c>
      <c r="B2" s="2"/>
      <c r="C2" s="2"/>
      <c r="D2" s="2"/>
      <c r="E2" s="2"/>
      <c r="F2" s="2"/>
      <c r="G2" s="2"/>
      <c r="H2" s="2"/>
    </row>
    <row r="4" customFormat="false" ht="15" hidden="false" customHeight="false" outlineLevel="0" collapsed="false">
      <c r="A4" s="3" t="s">
        <v>379</v>
      </c>
    </row>
    <row r="5" customFormat="false" ht="23.85" hidden="false" customHeight="false" outlineLevel="0" collapsed="false">
      <c r="A5" s="8" t="s">
        <v>80</v>
      </c>
      <c r="B5" s="8" t="str">
        <f aca="false">'Scenario Engine'!$B$4</f>
        <v>S01</v>
      </c>
      <c r="C5" s="8" t="s">
        <v>38</v>
      </c>
      <c r="D5" s="8" t="str">
        <f aca="false">'Scenario Engine'!$B$5</f>
        <v>340B COE/HOPD, buy-and-bill, pass-through-if-granted</v>
      </c>
      <c r="E5" s="8"/>
      <c r="F5" s="8"/>
      <c r="G5" s="8"/>
      <c r="H5" s="8"/>
    </row>
    <row r="6" customFormat="false" ht="15" hidden="false" customHeight="false" outlineLevel="0" collapsed="false">
      <c r="A6" s="8" t="s">
        <v>380</v>
      </c>
      <c r="B6" s="8" t="str">
        <f aca="false">'Scenario Engine'!$D$11</f>
        <v>HOPD</v>
      </c>
      <c r="C6" s="8" t="s">
        <v>381</v>
      </c>
      <c r="D6" s="8" t="str">
        <f aca="false">'Scenario Engine'!$D$14</f>
        <v>Medicare</v>
      </c>
      <c r="E6" s="8"/>
      <c r="F6" s="8"/>
      <c r="G6" s="8"/>
      <c r="H6" s="8"/>
    </row>
    <row r="7" customFormat="false" ht="15" hidden="false" customHeight="false" outlineLevel="0" collapsed="false">
      <c r="A7" s="8" t="s">
        <v>109</v>
      </c>
      <c r="B7" s="8" t="str">
        <f aca="false">'Scenario Engine'!$D$13</f>
        <v>Yes</v>
      </c>
      <c r="C7" s="8" t="s">
        <v>382</v>
      </c>
      <c r="D7" s="8" t="str">
        <f aca="false">'Scenario Engine'!$D$15</f>
        <v>Buy-and-bill</v>
      </c>
      <c r="E7" s="8"/>
      <c r="F7" s="8"/>
      <c r="G7" s="8"/>
      <c r="H7" s="8"/>
    </row>
    <row r="8" customFormat="false" ht="15" hidden="false" customHeight="false" outlineLevel="0" collapsed="false">
      <c r="A8" s="8" t="s">
        <v>383</v>
      </c>
      <c r="B8" s="8" t="str">
        <f aca="false">'Scenario Engine'!$D$16</f>
        <v>C9399/NOC</v>
      </c>
      <c r="C8" s="8" t="s">
        <v>60</v>
      </c>
      <c r="D8" s="8" t="str">
        <f aca="false">'Scenario Engine'!$D$17</f>
        <v>OPPS pass-through active</v>
      </c>
      <c r="E8" s="8"/>
      <c r="F8" s="8"/>
      <c r="G8" s="8"/>
      <c r="H8" s="8"/>
    </row>
    <row r="9" customFormat="false" ht="15" hidden="false" customHeight="false" outlineLevel="0" collapsed="false">
      <c r="A9" s="8" t="s">
        <v>261</v>
      </c>
      <c r="B9" s="8" t="str">
        <f aca="false">'Payer Controls'!$B$4</f>
        <v>Approved</v>
      </c>
      <c r="C9" s="8" t="s">
        <v>384</v>
      </c>
      <c r="D9" s="8" t="str">
        <f aca="false">IF('Payer Controls'!$B$36,"Yes","No")</f>
        <v>Yes</v>
      </c>
      <c r="E9" s="8"/>
      <c r="F9" s="8"/>
      <c r="G9" s="8"/>
      <c r="H9" s="8"/>
    </row>
    <row r="11" customFormat="false" ht="15" hidden="false" customHeight="false" outlineLevel="0" collapsed="false">
      <c r="A11" s="3" t="s">
        <v>333</v>
      </c>
      <c r="B11" s="4" t="str">
        <f aca="false">'Payer Controls'!$B$40</f>
        <v>Approved scope matches modeled scenario - economics calculated</v>
      </c>
      <c r="C11" s="4"/>
      <c r="D11" s="4"/>
      <c r="E11" s="4"/>
      <c r="F11" s="4"/>
      <c r="G11" s="4"/>
      <c r="H11" s="4"/>
    </row>
    <row r="12" customFormat="false" ht="15" hidden="false" customHeight="false" outlineLevel="0" collapsed="false">
      <c r="B12" s="4"/>
      <c r="C12" s="4"/>
      <c r="D12" s="4"/>
      <c r="E12" s="4"/>
      <c r="F12" s="4"/>
      <c r="G12" s="4"/>
      <c r="H12" s="4"/>
    </row>
    <row r="14" customFormat="false" ht="15" hidden="false" customHeight="false" outlineLevel="0" collapsed="false">
      <c r="A14" s="3" t="s">
        <v>385</v>
      </c>
    </row>
    <row r="15" customFormat="false" ht="15" hidden="false" customHeight="false" outlineLevel="0" collapsed="false">
      <c r="A15" s="8" t="s">
        <v>386</v>
      </c>
      <c r="B15" s="11" t="n">
        <f aca="false">Calculator!$B$6</f>
        <v>39000</v>
      </c>
      <c r="C15" s="8" t="s">
        <v>85</v>
      </c>
      <c r="D15" s="11" t="n">
        <f aca="false">Calculator!$B$7</f>
        <v>29991</v>
      </c>
    </row>
    <row r="16" customFormat="false" ht="15" hidden="false" customHeight="false" outlineLevel="0" collapsed="false">
      <c r="A16" s="8" t="s">
        <v>84</v>
      </c>
      <c r="B16" s="11" t="n">
        <f aca="false">Calculator!$B$8</f>
        <v>40170</v>
      </c>
      <c r="C16" s="8" t="s">
        <v>387</v>
      </c>
      <c r="D16" s="11" t="n">
        <f aca="false">Calculator!$B$9</f>
        <v>500</v>
      </c>
    </row>
    <row r="17" customFormat="false" ht="15" hidden="false" customHeight="false" outlineLevel="0" collapsed="false">
      <c r="A17" s="8" t="s">
        <v>388</v>
      </c>
      <c r="B17" s="11" t="n">
        <f aca="false">Calculator!$B$11</f>
        <v>1450</v>
      </c>
      <c r="C17" s="8" t="s">
        <v>389</v>
      </c>
      <c r="D17" s="11" t="n">
        <f aca="false">Calculator!$B$12+Calculator!$B$13</f>
        <v>1713.10273972603</v>
      </c>
    </row>
    <row r="18" customFormat="false" ht="15" hidden="false" customHeight="false" outlineLevel="0" collapsed="false">
      <c r="A18" s="8" t="s">
        <v>390</v>
      </c>
      <c r="B18" s="11" t="n">
        <f aca="false">Calculator!$B$14</f>
        <v>7515.89726027397</v>
      </c>
      <c r="C18" s="8" t="s">
        <v>391</v>
      </c>
      <c r="D18" s="11" t="str">
        <f aca="false">IF('Scenario Engine'!$B$6="Yes","Manual override active","No manual override")</f>
        <v>No manual override</v>
      </c>
    </row>
    <row r="20" customFormat="false" ht="15" hidden="false" customHeight="false" outlineLevel="0" collapsed="false">
      <c r="A20" s="3" t="s">
        <v>392</v>
      </c>
    </row>
    <row r="21" customFormat="false" ht="15" hidden="false" customHeight="false" outlineLevel="0" collapsed="false">
      <c r="A21" s="8" t="s">
        <v>393</v>
      </c>
      <c r="B21" s="18" t="n">
        <f aca="false">Calculator!$B$15</f>
        <v>26</v>
      </c>
      <c r="C21" s="8" t="s">
        <v>394</v>
      </c>
      <c r="D21" s="8" t="str">
        <f aca="false">'Payer Controls'!$B$6&amp;" to "&amp;'Payer Controls'!$B$7</f>
        <v>46143 to 46387</v>
      </c>
    </row>
    <row r="22" customFormat="false" ht="23.85" hidden="false" customHeight="false" outlineLevel="0" collapsed="false">
      <c r="A22" s="8" t="s">
        <v>395</v>
      </c>
      <c r="B22" s="11" t="n">
        <f aca="false">Calculator!$B$22</f>
        <v>195413.328767123</v>
      </c>
      <c r="C22" s="8" t="s">
        <v>374</v>
      </c>
      <c r="D22" s="8" t="str">
        <f aca="false">Calculator!$B$23</f>
        <v/>
      </c>
    </row>
    <row r="24" customFormat="false" ht="15" hidden="false" customHeight="false" outlineLevel="0" collapsed="false">
      <c r="A24" s="3" t="s">
        <v>396</v>
      </c>
    </row>
    <row r="25" customFormat="false" ht="15" hidden="false" customHeight="false" outlineLevel="0" collapsed="false">
      <c r="A25" s="7" t="s">
        <v>397</v>
      </c>
      <c r="B25" s="7" t="s">
        <v>398</v>
      </c>
      <c r="C25" s="7" t="s">
        <v>399</v>
      </c>
      <c r="D25" s="7" t="s">
        <v>400</v>
      </c>
      <c r="E25" s="7" t="s">
        <v>401</v>
      </c>
      <c r="F25" s="7" t="s">
        <v>109</v>
      </c>
      <c r="G25" s="7" t="s">
        <v>141</v>
      </c>
      <c r="H25" s="7" t="s">
        <v>48</v>
      </c>
    </row>
    <row r="26" customFormat="false" ht="15" hidden="false" customHeight="false" outlineLevel="0" collapsed="false">
      <c r="A26" s="8" t="str">
        <f aca="false">IF(NOT(Calculator!$B$5),"Not modellable",IF(Calculator!$B$14&lt;0,"High",IF(Calculator!$B$14&lt;2500,"Moderate","Low")))</f>
        <v>Low</v>
      </c>
      <c r="B26" s="8" t="str">
        <f aca="false">IF(NOT(Calculator!$B$5),"Not modellable",IF(AND('Product Economics'!$B$14&gt;0,'Operating Burden'!$B$10&gt;=90),"High",IF(AND('Product Economics'!$B$14&gt;0,'Operating Burden'!$B$10&gt;=60),"Moderate","Low")))</f>
        <v>Moderate</v>
      </c>
      <c r="C26" s="8" t="str">
        <f aca="false">IF(NOT(Calculator!$B$5),"Not modellable",IF(OR('Scenario Engine'!$D$16="No product-specific HCPCS",'Scenario Engine'!$D$16="C9399/NOC"),"High",IF(OR('Scenario Engine'!$D$17="Manual pricing",'Scenario Engine'!$D$17="Medicaid MCO plan-specific"),"Moderate","Low")))</f>
        <v>High</v>
      </c>
      <c r="D26" s="8" t="str">
        <f aca="false">IF(NOT(Calculator!$B$5),"Not modellable",IF('Payer Controls'!$B$14&lt;&gt;"Yes","Moderate","Low"))</f>
        <v>Low</v>
      </c>
      <c r="E26" s="8" t="str">
        <f aca="false">IF(NOT(Calculator!$B$5),"Not modellable",IF(OR('Scenario Engine'!$D$14="Medicaid FFS",'Scenario Engine'!$D$14="Medicaid MCO"),IF('Payer Controls'!$B$38,"Moderate","Not modellable"),"Low"))</f>
        <v>Low</v>
      </c>
      <c r="F26" s="8" t="str">
        <f aca="false">IF(NOT(Calculator!$B$5),"Not modellable",IF(AND(OR('Scenario Engine'!$D$14="Medicaid FFS",'Scenario Engine'!$D$14="Medicaid MCO"),'Scenario Engine'!$D$13="Yes",NOT('Payer Controls'!$B$39)),"Not modellable",IF(OR('Scenario Engine'!$D$13="Yes",'Scenario Engine'!$D$13="Unknown"),"Moderate","Low")))</f>
        <v>Moderate</v>
      </c>
      <c r="G26" s="8" t="str">
        <f aca="false">IF(NOT(Calculator!$B$5),"Not modellable",IF(OR('Scenario Engine'!$D$15="White-bagging",'Scenario Engine'!$D$15="Mixed"),"Moderate","Low"))</f>
        <v>Low</v>
      </c>
      <c r="H26" s="8" t="str">
        <f aca="false">IF(NOT(Calculator!$B$5),"Not modellable",IF('Payer Controls'!$B$14&lt;&gt;"Yes","Moderate","Low"))</f>
        <v>Low</v>
      </c>
    </row>
    <row r="28" customFormat="false" ht="15" hidden="false" customHeight="false" outlineLevel="0" collapsed="false">
      <c r="A28" s="3" t="s">
        <v>402</v>
      </c>
    </row>
    <row r="29" customFormat="false" ht="15" hidden="false" customHeight="true" outlineLevel="0" collapsed="false">
      <c r="A29" s="4" t="s">
        <v>5</v>
      </c>
      <c r="B29" s="4"/>
      <c r="C29" s="4"/>
      <c r="D29" s="4"/>
      <c r="E29" s="4"/>
      <c r="F29" s="4"/>
      <c r="G29" s="4"/>
      <c r="H29" s="4"/>
    </row>
    <row r="30" customFormat="false" ht="15" hidden="false" customHeight="false" outlineLevel="0" collapsed="false">
      <c r="A30" s="4"/>
      <c r="B30" s="4"/>
      <c r="C30" s="4"/>
      <c r="D30" s="4"/>
      <c r="E30" s="4"/>
      <c r="F30" s="4"/>
      <c r="G30" s="4"/>
      <c r="H30" s="4"/>
    </row>
    <row r="31" customFormat="false" ht="15" hidden="false" customHeight="false" outlineLevel="0" collapsed="false">
      <c r="A31" s="4"/>
      <c r="B31" s="4"/>
      <c r="C31" s="4"/>
      <c r="D31" s="4"/>
      <c r="E31" s="4"/>
      <c r="F31" s="4"/>
      <c r="G31" s="4"/>
      <c r="H31" s="4"/>
    </row>
    <row r="32" customFormat="false" ht="15" hidden="false" customHeight="false" outlineLevel="0" collapsed="false">
      <c r="A32" s="4" t="str">
        <f aca="false">IF('Scenario Engine'!$D$13="Yes","340B acquisition values are illustrative unless site-verified. This model does not guarantee 340B eligibility, 340B ceiling price, sub-ceiling price, provider acquisition cost, payer-recognized payment basis, or payer reimbursement outcome.","")</f>
        <v>340B acquisition values are illustrative unless site-verified. This model does not guarantee 340B eligibility, 340B ceiling price, sub-ceiling price, provider acquisition cost, payer-recognized payment basis, or payer reimbursement outcome.</v>
      </c>
      <c r="B32" s="4"/>
      <c r="C32" s="4"/>
      <c r="D32" s="4"/>
      <c r="E32" s="4"/>
      <c r="F32" s="4"/>
      <c r="G32" s="4"/>
      <c r="H32" s="4"/>
    </row>
    <row r="33" customFormat="false" ht="15" hidden="false" customHeight="false" outlineLevel="0" collapsed="false">
      <c r="A33" s="4"/>
      <c r="B33" s="4"/>
      <c r="C33" s="4"/>
      <c r="D33" s="4"/>
      <c r="E33" s="4"/>
      <c r="F33" s="4"/>
      <c r="G33" s="4"/>
      <c r="H33" s="4"/>
    </row>
    <row r="34" customFormat="false" ht="15" hidden="false" customHeight="false" outlineLevel="0" collapsed="false">
      <c r="A34" s="4"/>
      <c r="B34" s="4"/>
      <c r="C34" s="4"/>
      <c r="D34" s="4"/>
      <c r="E34" s="4"/>
      <c r="F34" s="4"/>
      <c r="G34" s="4"/>
      <c r="H34" s="4"/>
    </row>
    <row r="35" customFormat="false" ht="15" hidden="false" customHeight="true" outlineLevel="0" collapsed="false">
      <c r="A35" s="4" t="s">
        <v>3</v>
      </c>
      <c r="B35" s="4"/>
      <c r="C35" s="4"/>
      <c r="D35" s="4"/>
      <c r="E35" s="4"/>
      <c r="F35" s="4"/>
      <c r="G35" s="4"/>
      <c r="H35" s="4"/>
    </row>
    <row r="36" customFormat="false" ht="15" hidden="false" customHeight="false" outlineLevel="0" collapsed="false">
      <c r="A36" s="4"/>
      <c r="B36" s="4"/>
      <c r="C36" s="4"/>
      <c r="D36" s="4"/>
      <c r="E36" s="4"/>
      <c r="F36" s="4"/>
      <c r="G36" s="4"/>
      <c r="H36" s="4"/>
    </row>
    <row r="37" customFormat="false" ht="15" hidden="false" customHeight="false" outlineLevel="0" collapsed="false">
      <c r="A37" s="4"/>
      <c r="B37" s="4"/>
      <c r="C37" s="4"/>
      <c r="D37" s="4"/>
      <c r="E37" s="4"/>
      <c r="F37" s="4"/>
      <c r="G37" s="4"/>
      <c r="H37" s="4"/>
    </row>
  </sheetData>
  <sheetProtection sheet="true" password="cc2a" selectUnlockedCells="true"/>
  <mergeCells count="6">
    <mergeCell ref="A1:H1"/>
    <mergeCell ref="A2:H2"/>
    <mergeCell ref="B11:H12"/>
    <mergeCell ref="A29:H31"/>
    <mergeCell ref="A32:H34"/>
    <mergeCell ref="A35:H3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24"/>
    <col collapsed="false" customWidth="true" hidden="false" outlineLevel="0" max="3" min="3" style="0" width="42"/>
    <col collapsed="false" customWidth="true" hidden="false" outlineLevel="0" max="10" min="4" style="0" width="24"/>
  </cols>
  <sheetData>
    <row r="1" customFormat="false" ht="27.75" hidden="false" customHeight="true" outlineLevel="0" collapsed="false">
      <c r="A1" s="1" t="s">
        <v>403</v>
      </c>
      <c r="B1" s="1"/>
      <c r="C1" s="1"/>
      <c r="D1" s="1"/>
      <c r="E1" s="1"/>
      <c r="F1" s="1"/>
      <c r="G1" s="1"/>
      <c r="H1" s="1"/>
      <c r="I1" s="1"/>
      <c r="J1" s="1"/>
    </row>
    <row r="2" customFormat="false" ht="31.5" hidden="false" customHeight="true" outlineLevel="0" collapsed="false">
      <c r="A2" s="2" t="s">
        <v>404</v>
      </c>
      <c r="B2" s="2"/>
      <c r="C2" s="2"/>
      <c r="D2" s="2"/>
      <c r="E2" s="2"/>
      <c r="F2" s="2"/>
      <c r="G2" s="2"/>
      <c r="H2" s="2"/>
      <c r="I2" s="2"/>
      <c r="J2" s="2"/>
    </row>
    <row r="3" customFormat="false" ht="15" hidden="false" customHeight="false" outlineLevel="0" collapsed="false">
      <c r="A3" s="7" t="s">
        <v>405</v>
      </c>
      <c r="B3" s="7" t="s">
        <v>406</v>
      </c>
      <c r="C3" s="7" t="s">
        <v>175</v>
      </c>
      <c r="D3" s="7" t="s">
        <v>407</v>
      </c>
      <c r="E3" s="7" t="s">
        <v>176</v>
      </c>
      <c r="F3" s="7" t="s">
        <v>408</v>
      </c>
      <c r="G3" s="7" t="s">
        <v>409</v>
      </c>
      <c r="H3" s="7" t="s">
        <v>410</v>
      </c>
      <c r="I3" s="7" t="s">
        <v>411</v>
      </c>
      <c r="J3" s="7" t="s">
        <v>412</v>
      </c>
    </row>
    <row r="4" customFormat="false" ht="46.25" hidden="false" customHeight="false" outlineLevel="0" collapsed="false">
      <c r="A4" s="8" t="s">
        <v>413</v>
      </c>
      <c r="B4" s="8" t="s">
        <v>414</v>
      </c>
      <c r="C4" s="8" t="s">
        <v>415</v>
      </c>
      <c r="D4" s="8" t="s">
        <v>416</v>
      </c>
      <c r="E4" s="8" t="s">
        <v>417</v>
      </c>
      <c r="F4" s="8" t="s">
        <v>418</v>
      </c>
      <c r="G4" s="8" t="s">
        <v>419</v>
      </c>
      <c r="H4" s="8" t="s">
        <v>420</v>
      </c>
      <c r="I4" s="8" t="s">
        <v>421</v>
      </c>
      <c r="J4" s="8" t="s">
        <v>422</v>
      </c>
    </row>
    <row r="5" customFormat="false" ht="68.65" hidden="false" customHeight="false" outlineLevel="0" collapsed="false">
      <c r="A5" s="8" t="s">
        <v>423</v>
      </c>
      <c r="B5" s="8" t="s">
        <v>424</v>
      </c>
      <c r="C5" s="8" t="s">
        <v>425</v>
      </c>
      <c r="D5" s="8" t="s">
        <v>416</v>
      </c>
      <c r="E5" s="8" t="s">
        <v>426</v>
      </c>
      <c r="F5" s="8" t="s">
        <v>427</v>
      </c>
      <c r="G5" s="8" t="s">
        <v>428</v>
      </c>
      <c r="H5" s="8" t="s">
        <v>420</v>
      </c>
      <c r="I5" s="8" t="s">
        <v>421</v>
      </c>
      <c r="J5" s="8" t="s">
        <v>422</v>
      </c>
    </row>
    <row r="6" customFormat="false" ht="68.65" hidden="false" customHeight="false" outlineLevel="0" collapsed="false">
      <c r="A6" s="8" t="s">
        <v>429</v>
      </c>
      <c r="B6" s="8" t="s">
        <v>430</v>
      </c>
      <c r="C6" s="8" t="s">
        <v>431</v>
      </c>
      <c r="D6" s="8" t="s">
        <v>416</v>
      </c>
      <c r="E6" s="8" t="s">
        <v>432</v>
      </c>
      <c r="F6" s="8" t="s">
        <v>433</v>
      </c>
      <c r="G6" s="8" t="s">
        <v>428</v>
      </c>
      <c r="H6" s="8" t="s">
        <v>420</v>
      </c>
      <c r="I6" s="8" t="s">
        <v>421</v>
      </c>
      <c r="J6" s="8" t="s">
        <v>422</v>
      </c>
    </row>
    <row r="7" customFormat="false" ht="57.45" hidden="false" customHeight="false" outlineLevel="0" collapsed="false">
      <c r="A7" s="8" t="s">
        <v>434</v>
      </c>
      <c r="B7" s="8" t="s">
        <v>435</v>
      </c>
      <c r="C7" s="8" t="s">
        <v>436</v>
      </c>
      <c r="D7" s="8" t="s">
        <v>416</v>
      </c>
      <c r="E7" s="8" t="s">
        <v>437</v>
      </c>
      <c r="F7" s="8" t="s">
        <v>438</v>
      </c>
      <c r="G7" s="8" t="s">
        <v>439</v>
      </c>
      <c r="H7" s="8" t="s">
        <v>420</v>
      </c>
      <c r="I7" s="8" t="s">
        <v>421</v>
      </c>
      <c r="J7" s="8" t="s">
        <v>422</v>
      </c>
    </row>
    <row r="8" customFormat="false" ht="35.05" hidden="false" customHeight="false" outlineLevel="0" collapsed="false">
      <c r="A8" s="8" t="s">
        <v>440</v>
      </c>
      <c r="B8" s="8" t="s">
        <v>441</v>
      </c>
      <c r="C8" s="8" t="s">
        <v>442</v>
      </c>
      <c r="D8" s="8" t="s">
        <v>416</v>
      </c>
      <c r="E8" s="8" t="s">
        <v>443</v>
      </c>
      <c r="F8" s="8" t="s">
        <v>444</v>
      </c>
      <c r="G8" s="8" t="s">
        <v>428</v>
      </c>
      <c r="H8" s="8" t="s">
        <v>420</v>
      </c>
      <c r="I8" s="8" t="s">
        <v>421</v>
      </c>
      <c r="J8" s="8" t="s">
        <v>422</v>
      </c>
    </row>
    <row r="9" customFormat="false" ht="68.65" hidden="false" customHeight="false" outlineLevel="0" collapsed="false">
      <c r="A9" s="8" t="s">
        <v>445</v>
      </c>
      <c r="B9" s="8" t="s">
        <v>446</v>
      </c>
      <c r="C9" s="8" t="s">
        <v>447</v>
      </c>
      <c r="D9" s="8" t="s">
        <v>416</v>
      </c>
      <c r="E9" s="8" t="s">
        <v>448</v>
      </c>
      <c r="F9" s="8" t="s">
        <v>449</v>
      </c>
      <c r="G9" s="8" t="s">
        <v>450</v>
      </c>
      <c r="H9" s="8" t="s">
        <v>420</v>
      </c>
      <c r="I9" s="8" t="s">
        <v>451</v>
      </c>
      <c r="J9" s="8" t="s">
        <v>422</v>
      </c>
    </row>
    <row r="10" customFormat="false" ht="68.65" hidden="false" customHeight="false" outlineLevel="0" collapsed="false">
      <c r="A10" s="8" t="s">
        <v>452</v>
      </c>
      <c r="B10" s="8" t="s">
        <v>453</v>
      </c>
      <c r="C10" s="8" t="s">
        <v>454</v>
      </c>
      <c r="D10" s="8" t="s">
        <v>416</v>
      </c>
      <c r="E10" s="8" t="s">
        <v>455</v>
      </c>
      <c r="F10" s="8" t="s">
        <v>456</v>
      </c>
      <c r="G10" s="8" t="s">
        <v>457</v>
      </c>
      <c r="H10" s="8" t="s">
        <v>420</v>
      </c>
      <c r="I10" s="8" t="s">
        <v>451</v>
      </c>
      <c r="J10" s="8" t="s">
        <v>422</v>
      </c>
    </row>
    <row r="11" customFormat="false" ht="46.25" hidden="false" customHeight="false" outlineLevel="0" collapsed="false">
      <c r="A11" s="8" t="s">
        <v>458</v>
      </c>
      <c r="B11" s="8" t="s">
        <v>459</v>
      </c>
      <c r="C11" s="8" t="s">
        <v>460</v>
      </c>
      <c r="D11" s="8" t="s">
        <v>416</v>
      </c>
      <c r="E11" s="8" t="s">
        <v>461</v>
      </c>
      <c r="F11" s="8" t="s">
        <v>462</v>
      </c>
      <c r="G11" s="8" t="s">
        <v>428</v>
      </c>
      <c r="H11" s="8" t="s">
        <v>420</v>
      </c>
      <c r="I11" s="8" t="s">
        <v>463</v>
      </c>
      <c r="J11" s="8" t="s">
        <v>422</v>
      </c>
    </row>
    <row r="12" customFormat="false" ht="57.45" hidden="false" customHeight="false" outlineLevel="0" collapsed="false">
      <c r="A12" s="8" t="s">
        <v>464</v>
      </c>
      <c r="B12" s="8" t="s">
        <v>465</v>
      </c>
      <c r="C12" s="8" t="s">
        <v>466</v>
      </c>
      <c r="D12" s="8" t="s">
        <v>416</v>
      </c>
      <c r="E12" s="8" t="s">
        <v>467</v>
      </c>
      <c r="F12" s="8" t="s">
        <v>468</v>
      </c>
      <c r="G12" s="8" t="s">
        <v>428</v>
      </c>
      <c r="H12" s="8" t="s">
        <v>420</v>
      </c>
      <c r="I12" s="8" t="s">
        <v>463</v>
      </c>
      <c r="J12" s="8" t="s">
        <v>422</v>
      </c>
    </row>
    <row r="13" customFormat="false" ht="23.85" hidden="false" customHeight="false" outlineLevel="0" collapsed="false">
      <c r="A13" s="8" t="s">
        <v>469</v>
      </c>
      <c r="B13" s="8" t="s">
        <v>470</v>
      </c>
      <c r="C13" s="8" t="s">
        <v>471</v>
      </c>
      <c r="D13" s="8" t="s">
        <v>472</v>
      </c>
      <c r="E13" s="8" t="s">
        <v>319</v>
      </c>
      <c r="F13" s="8"/>
      <c r="G13" s="8" t="s">
        <v>420</v>
      </c>
      <c r="H13" s="8" t="s">
        <v>420</v>
      </c>
      <c r="I13" s="8" t="s">
        <v>473</v>
      </c>
      <c r="J13" s="8" t="s">
        <v>474</v>
      </c>
    </row>
    <row r="14" customFormat="false" ht="23.85" hidden="false" customHeight="false" outlineLevel="0" collapsed="false">
      <c r="A14" s="8" t="s">
        <v>475</v>
      </c>
      <c r="B14" s="8" t="s">
        <v>476</v>
      </c>
      <c r="C14" s="8" t="s">
        <v>477</v>
      </c>
      <c r="D14" s="8" t="s">
        <v>472</v>
      </c>
      <c r="E14" s="8" t="s">
        <v>319</v>
      </c>
      <c r="F14" s="8"/>
      <c r="G14" s="8" t="s">
        <v>420</v>
      </c>
      <c r="H14" s="8" t="s">
        <v>420</v>
      </c>
      <c r="I14" s="8" t="s">
        <v>473</v>
      </c>
      <c r="J14" s="8" t="s">
        <v>478</v>
      </c>
    </row>
  </sheetData>
  <sheetProtection sheet="true" password="cc2a" selectUnlockedCells="true"/>
  <mergeCells count="2">
    <mergeCell ref="A1:J1"/>
    <mergeCell ref="A2:J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45"/>
    <col collapsed="false" customWidth="true" hidden="false" outlineLevel="0" max="4" min="4" style="0" width="30"/>
    <col collapsed="false" customWidth="true" hidden="false" outlineLevel="0" max="5" min="5" style="0" width="18"/>
    <col collapsed="false" customWidth="true" hidden="false" outlineLevel="0" max="6" min="6" style="0" width="46"/>
  </cols>
  <sheetData>
    <row r="1" customFormat="false" ht="27.75" hidden="false" customHeight="true" outlineLevel="0" collapsed="false">
      <c r="A1" s="1" t="s">
        <v>479</v>
      </c>
      <c r="B1" s="1"/>
      <c r="C1" s="1"/>
      <c r="D1" s="1"/>
      <c r="E1" s="1"/>
      <c r="F1" s="1"/>
      <c r="G1" s="1"/>
    </row>
    <row r="2" customFormat="false" ht="31.5" hidden="false" customHeight="true" outlineLevel="0" collapsed="false">
      <c r="A2" s="2" t="s">
        <v>480</v>
      </c>
      <c r="B2" s="2"/>
      <c r="C2" s="2"/>
      <c r="D2" s="2"/>
      <c r="E2" s="2"/>
      <c r="F2" s="2"/>
      <c r="G2" s="2"/>
    </row>
    <row r="3" customFormat="false" ht="15" hidden="false" customHeight="false" outlineLevel="0" collapsed="false">
      <c r="A3" s="7" t="s">
        <v>481</v>
      </c>
      <c r="B3" s="7" t="s">
        <v>482</v>
      </c>
      <c r="C3" s="7" t="s">
        <v>483</v>
      </c>
      <c r="D3" s="7" t="s">
        <v>484</v>
      </c>
      <c r="E3" s="7" t="s">
        <v>485</v>
      </c>
      <c r="F3" s="7" t="s">
        <v>47</v>
      </c>
    </row>
    <row r="4" customFormat="false" ht="23.85" hidden="false" customHeight="false" outlineLevel="0" collapsed="false">
      <c r="A4" s="8" t="s">
        <v>486</v>
      </c>
      <c r="B4" s="8" t="s">
        <v>487</v>
      </c>
      <c r="C4" s="8" t="s">
        <v>488</v>
      </c>
      <c r="D4" s="8" t="s">
        <v>489</v>
      </c>
      <c r="E4" s="8" t="s">
        <v>490</v>
      </c>
      <c r="F4" s="8" t="s">
        <v>491</v>
      </c>
    </row>
    <row r="5" customFormat="false" ht="23.85" hidden="false" customHeight="false" outlineLevel="0" collapsed="false">
      <c r="A5" s="8" t="s">
        <v>492</v>
      </c>
      <c r="B5" s="8" t="s">
        <v>493</v>
      </c>
      <c r="C5" s="8" t="s">
        <v>488</v>
      </c>
      <c r="D5" s="8" t="s">
        <v>489</v>
      </c>
      <c r="E5" s="8" t="s">
        <v>490</v>
      </c>
      <c r="F5" s="8" t="s">
        <v>494</v>
      </c>
    </row>
    <row r="6" customFormat="false" ht="23.85" hidden="false" customHeight="false" outlineLevel="0" collapsed="false">
      <c r="A6" s="8" t="s">
        <v>495</v>
      </c>
      <c r="B6" s="8" t="s">
        <v>496</v>
      </c>
      <c r="C6" s="8" t="s">
        <v>488</v>
      </c>
      <c r="D6" s="8" t="s">
        <v>489</v>
      </c>
      <c r="E6" s="8" t="s">
        <v>490</v>
      </c>
      <c r="F6" s="8" t="s">
        <v>497</v>
      </c>
    </row>
    <row r="7" customFormat="false" ht="23.85" hidden="false" customHeight="false" outlineLevel="0" collapsed="false">
      <c r="A7" s="8" t="s">
        <v>498</v>
      </c>
      <c r="B7" s="8" t="s">
        <v>499</v>
      </c>
      <c r="C7" s="8" t="s">
        <v>500</v>
      </c>
      <c r="D7" s="8" t="s">
        <v>489</v>
      </c>
      <c r="E7" s="8" t="s">
        <v>490</v>
      </c>
      <c r="F7" s="8" t="s">
        <v>501</v>
      </c>
    </row>
    <row r="8" customFormat="false" ht="23.85" hidden="false" customHeight="false" outlineLevel="0" collapsed="false">
      <c r="A8" s="8" t="s">
        <v>502</v>
      </c>
      <c r="B8" s="8" t="s">
        <v>503</v>
      </c>
      <c r="C8" s="8" t="s">
        <v>504</v>
      </c>
      <c r="D8" s="8" t="s">
        <v>489</v>
      </c>
      <c r="E8" s="8" t="s">
        <v>490</v>
      </c>
      <c r="F8" s="8" t="s">
        <v>505</v>
      </c>
    </row>
    <row r="9" customFormat="false" ht="23.85" hidden="false" customHeight="false" outlineLevel="0" collapsed="false">
      <c r="A9" s="8" t="s">
        <v>506</v>
      </c>
      <c r="B9" s="8" t="s">
        <v>507</v>
      </c>
      <c r="C9" s="8" t="s">
        <v>504</v>
      </c>
      <c r="D9" s="8" t="s">
        <v>489</v>
      </c>
      <c r="E9" s="8" t="s">
        <v>490</v>
      </c>
      <c r="F9" s="8" t="s">
        <v>508</v>
      </c>
    </row>
    <row r="10" customFormat="false" ht="23.85" hidden="false" customHeight="false" outlineLevel="0" collapsed="false">
      <c r="A10" s="8" t="s">
        <v>509</v>
      </c>
      <c r="B10" s="8" t="s">
        <v>510</v>
      </c>
      <c r="C10" s="8" t="s">
        <v>511</v>
      </c>
      <c r="D10" s="8" t="s">
        <v>489</v>
      </c>
      <c r="E10" s="8" t="s">
        <v>490</v>
      </c>
      <c r="F10" s="8" t="s">
        <v>512</v>
      </c>
    </row>
    <row r="11" customFormat="false" ht="23.85" hidden="false" customHeight="false" outlineLevel="0" collapsed="false">
      <c r="A11" s="8" t="s">
        <v>513</v>
      </c>
      <c r="B11" s="8" t="s">
        <v>514</v>
      </c>
      <c r="C11" s="8" t="s">
        <v>515</v>
      </c>
      <c r="D11" s="8" t="s">
        <v>489</v>
      </c>
      <c r="E11" s="8" t="s">
        <v>490</v>
      </c>
      <c r="F11" s="8" t="s">
        <v>516</v>
      </c>
    </row>
    <row r="12" customFormat="false" ht="23.85" hidden="false" customHeight="false" outlineLevel="0" collapsed="false">
      <c r="A12" s="8" t="s">
        <v>517</v>
      </c>
      <c r="B12" s="8" t="s">
        <v>518</v>
      </c>
      <c r="C12" s="8" t="s">
        <v>519</v>
      </c>
      <c r="D12" s="8" t="s">
        <v>489</v>
      </c>
      <c r="E12" s="8" t="s">
        <v>490</v>
      </c>
      <c r="F12" s="8" t="s">
        <v>520</v>
      </c>
    </row>
    <row r="13" customFormat="false" ht="23.85" hidden="false" customHeight="false" outlineLevel="0" collapsed="false">
      <c r="A13" s="8" t="s">
        <v>521</v>
      </c>
      <c r="B13" s="8" t="s">
        <v>522</v>
      </c>
      <c r="C13" s="8" t="s">
        <v>523</v>
      </c>
      <c r="D13" s="8" t="s">
        <v>489</v>
      </c>
      <c r="E13" s="8" t="s">
        <v>490</v>
      </c>
      <c r="F13" s="8" t="s">
        <v>524</v>
      </c>
    </row>
    <row r="14" customFormat="false" ht="23.85" hidden="false" customHeight="false" outlineLevel="0" collapsed="false">
      <c r="A14" s="8" t="s">
        <v>525</v>
      </c>
      <c r="B14" s="8" t="s">
        <v>526</v>
      </c>
      <c r="C14" s="8" t="s">
        <v>527</v>
      </c>
      <c r="D14" s="8" t="s">
        <v>489</v>
      </c>
      <c r="E14" s="8" t="s">
        <v>490</v>
      </c>
      <c r="F14" s="8" t="s">
        <v>528</v>
      </c>
    </row>
    <row r="15" customFormat="false" ht="23.85" hidden="false" customHeight="false" outlineLevel="0" collapsed="false">
      <c r="A15" s="8" t="s">
        <v>529</v>
      </c>
      <c r="B15" s="8" t="s">
        <v>530</v>
      </c>
      <c r="C15" s="8" t="s">
        <v>531</v>
      </c>
      <c r="D15" s="8" t="s">
        <v>489</v>
      </c>
      <c r="E15" s="8" t="s">
        <v>490</v>
      </c>
      <c r="F15" s="8" t="s">
        <v>532</v>
      </c>
    </row>
    <row r="16" customFormat="false" ht="23.85" hidden="false" customHeight="false" outlineLevel="0" collapsed="false">
      <c r="A16" s="8" t="s">
        <v>533</v>
      </c>
      <c r="B16" s="8" t="s">
        <v>534</v>
      </c>
      <c r="C16" s="8" t="s">
        <v>535</v>
      </c>
      <c r="D16" s="8" t="s">
        <v>489</v>
      </c>
      <c r="E16" s="8" t="s">
        <v>490</v>
      </c>
      <c r="F16" s="8" t="s">
        <v>536</v>
      </c>
    </row>
    <row r="17" customFormat="false" ht="23.85" hidden="false" customHeight="false" outlineLevel="0" collapsed="false">
      <c r="A17" s="8" t="s">
        <v>537</v>
      </c>
      <c r="B17" s="8" t="s">
        <v>538</v>
      </c>
      <c r="C17" s="8" t="s">
        <v>539</v>
      </c>
      <c r="D17" s="8" t="s">
        <v>489</v>
      </c>
      <c r="E17" s="8" t="s">
        <v>490</v>
      </c>
      <c r="F17" s="8" t="s">
        <v>540</v>
      </c>
    </row>
  </sheetData>
  <sheetProtection sheet="true" password="cc2a" selectUnlockedCells="true"/>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2026-05-02T00:00:00Z</dcterms:created>
  <dc:creator>JL Policy Consulting</dc:creator>
  <dc:description/>
  <dc:language>en-US</dc:language>
  <cp:lastModifiedBy/>
  <dcterms:modified xsi:type="dcterms:W3CDTF">2026-05-02T12:59:28Z</dcterms:modified>
  <cp:revision>0</cp:revision>
  <dc:subject>Reimbursement-readiness and economic-exposure model</dc:subject>
  <dc:title>Adrabetadex Final ARM Provider Net Cost Recovery Tool</dc:title>
</cp:coreProperties>
</file>

<file path=docProps/custom.xml><?xml version="1.0" encoding="utf-8"?>
<Properties xmlns="http://schemas.openxmlformats.org/officeDocument/2006/custom-properties" xmlns:vt="http://schemas.openxmlformats.org/officeDocument/2006/docPropsVTypes"/>
</file>