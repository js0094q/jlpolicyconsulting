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osephstewart/Documents/JLPolicyConsulting/output/spreadsheet/"/>
    </mc:Choice>
  </mc:AlternateContent>
  <xr:revisionPtr revIDLastSave="0" documentId="13_ncr:1_{E542FA5D-9C47-5B4D-83D1-89091E65805D}" xr6:coauthVersionLast="47" xr6:coauthVersionMax="47" xr10:uidLastSave="{00000000-0000-0000-0000-000000000000}"/>
  <bookViews>
    <workbookView xWindow="0" yWindow="700" windowWidth="34200" windowHeight="19780" activeTab="8" xr2:uid="{00000000-000D-0000-FFFF-FFFF00000000}"/>
  </bookViews>
  <sheets>
    <sheet name="Cover" sheetId="1" r:id="rId1"/>
    <sheet name="Inputs" sheetId="2" r:id="rId2"/>
    <sheet name="Episode_Cost_Breakdown" sheetId="3" r:id="rId3"/>
    <sheet name="Scenario_No_NTAP" sheetId="4" r:id="rId4"/>
    <sheet name="Scenario_NTAP" sheetId="5" r:id="rId5"/>
    <sheet name="Scenario_Post_DRG" sheetId="6" r:id="rId6"/>
    <sheet name="Episode_Total_Care" sheetId="7" r:id="rId7"/>
    <sheet name="Sensitivity" sheetId="8" r:id="rId8"/>
    <sheet name="DRG_Weights_Trend" sheetId="9" r:id="rId9"/>
    <sheet name="DRG_YoY_Change" sheetId="10" r:id="rId10"/>
    <sheet name="DRG_Definitions" sheetId="11" r:id="rId11"/>
    <sheet name="Price_Ladder" sheetId="12" r:id="rId12"/>
    <sheet name="Episode_Scenarios" sheetId="13" r:id="rId13"/>
    <sheet name="Source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5" i="13" l="1"/>
  <c r="E6" i="12"/>
  <c r="E5" i="12"/>
  <c r="E4" i="12"/>
  <c r="B15" i="7"/>
  <c r="B14" i="7"/>
  <c r="C14" i="7" s="1"/>
  <c r="D14" i="7" s="1"/>
  <c r="B13" i="7"/>
  <c r="C13" i="7" s="1"/>
  <c r="D13" i="7" s="1"/>
  <c r="B12" i="7"/>
  <c r="C12" i="7" s="1"/>
  <c r="D12" i="7" s="1"/>
  <c r="D11" i="7"/>
  <c r="C11" i="7"/>
  <c r="B11" i="7"/>
  <c r="B10" i="7"/>
  <c r="B5" i="6"/>
  <c r="B4" i="6"/>
  <c r="C5" i="5"/>
  <c r="B5" i="5"/>
  <c r="C4" i="5"/>
  <c r="B4" i="5"/>
  <c r="B5" i="4"/>
  <c r="B4" i="4"/>
  <c r="E13" i="3"/>
  <c r="E12" i="3"/>
  <c r="E11" i="3"/>
  <c r="B13" i="2"/>
  <c r="H6" i="13" s="1"/>
  <c r="D22" i="1"/>
  <c r="D20" i="1"/>
  <c r="C6" i="1"/>
  <c r="A6" i="1"/>
  <c r="B4" i="12" l="1"/>
  <c r="C10" i="7"/>
  <c r="B5" i="8"/>
  <c r="C12" i="8"/>
  <c r="C5" i="8"/>
  <c r="D12" i="8"/>
  <c r="B5" i="12"/>
  <c r="D5" i="8"/>
  <c r="B13" i="8"/>
  <c r="C5" i="12"/>
  <c r="B6" i="8"/>
  <c r="C13" i="8"/>
  <c r="F4" i="13"/>
  <c r="C6" i="8"/>
  <c r="D13" i="8"/>
  <c r="G4" i="13"/>
  <c r="H4" i="13"/>
  <c r="G5" i="13"/>
  <c r="D6" i="8"/>
  <c r="C4" i="12"/>
  <c r="B4" i="8"/>
  <c r="C11" i="8"/>
  <c r="B6" i="12"/>
  <c r="C4" i="8"/>
  <c r="D11" i="8"/>
  <c r="C6" i="12"/>
  <c r="H5" i="13"/>
  <c r="B6" i="5"/>
  <c r="B7" i="5" s="1"/>
  <c r="B8" i="5" s="1"/>
  <c r="B6" i="6"/>
  <c r="B7" i="6" s="1"/>
  <c r="B8" i="6" s="1"/>
  <c r="B11" i="8"/>
  <c r="C6" i="5"/>
  <c r="C7" i="5" s="1"/>
  <c r="C8" i="5" s="1"/>
  <c r="C9" i="5" s="1"/>
  <c r="B6" i="4"/>
  <c r="B7" i="4" s="1"/>
  <c r="B8" i="4" s="1"/>
  <c r="D4" i="8"/>
  <c r="B12" i="8"/>
  <c r="F6" i="13"/>
  <c r="G6" i="13"/>
  <c r="C21" i="1" l="1"/>
  <c r="B9" i="5"/>
  <c r="B22" i="1"/>
  <c r="K27" i="1"/>
  <c r="D10" i="7"/>
  <c r="C15" i="7"/>
  <c r="F4" i="12"/>
  <c r="G4" i="12" s="1"/>
  <c r="D4" i="12"/>
  <c r="D5" i="12"/>
  <c r="F5" i="12"/>
  <c r="G5" i="12" s="1"/>
  <c r="D6" i="12"/>
  <c r="F6" i="12"/>
  <c r="G6" i="12" s="1"/>
  <c r="B20" i="1"/>
  <c r="E6" i="1"/>
  <c r="K25" i="1"/>
  <c r="D21" i="1" l="1"/>
  <c r="D15" i="7"/>
  <c r="G6" i="1" s="1"/>
  <c r="B21" i="1"/>
  <c r="K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B4" authorId="0" shapeId="0" xr:uid="{00000000-0006-0000-0100-000001000000}">
      <text>
        <r>
          <rPr>
            <sz val="11"/>
            <color theme="1"/>
            <rFont val="Calibri"/>
            <family val="2"/>
            <scheme val="minor"/>
          </rPr>
          <t>Assumption from user prompt.</t>
        </r>
      </text>
    </comment>
    <comment ref="B5" authorId="0" shapeId="0" xr:uid="{00000000-0006-0000-0100-000002000000}">
      <text>
        <r>
          <rPr>
            <sz val="11"/>
            <color theme="1"/>
            <rFont val="Calibri"/>
            <family val="2"/>
            <scheme val="minor"/>
          </rPr>
          <t>Assumption from user prompt.</t>
        </r>
      </text>
    </comment>
    <comment ref="B6" authorId="0" shapeId="0" xr:uid="{00000000-0006-0000-0100-000003000000}">
      <text>
        <r>
          <rPr>
            <sz val="11"/>
            <color theme="1"/>
            <rFont val="Calibri"/>
            <family val="2"/>
            <scheme val="minor"/>
          </rPr>
          <t>Assumption from user prompt.</t>
        </r>
      </text>
    </comment>
    <comment ref="B13" authorId="0" shapeId="0" xr:uid="{00000000-0006-0000-0100-000004000000}">
      <text>
        <r>
          <rPr>
            <sz val="11"/>
            <color theme="1"/>
            <rFont val="Calibri"/>
            <family val="2"/>
            <scheme val="minor"/>
          </rPr>
          <t>This pulls only bundled facility costs used in DRG margin calculations (ICU, routine floor, ancillary).</t>
        </r>
      </text>
    </comment>
    <comment ref="B16" authorId="0" shapeId="0" xr:uid="{00000000-0006-0000-0100-000005000000}">
      <text>
        <r>
          <rPr>
            <sz val="11"/>
            <color theme="1"/>
            <rFont val="Calibri"/>
            <family val="2"/>
            <scheme val="minor"/>
          </rPr>
          <t>CMS states NTAP is generally limited to the lesser of 65% of technology cost or 65% of case excess over DRG [1].</t>
        </r>
      </text>
    </comment>
  </commentList>
</comments>
</file>

<file path=xl/sharedStrings.xml><?xml version="1.0" encoding="utf-8"?>
<sst xmlns="http://schemas.openxmlformats.org/spreadsheetml/2006/main" count="333" uniqueCount="266">
  <si>
    <t>NTAP Cost Scenarios - Grounded Model</t>
  </si>
  <si>
    <t>Scenario margin comparison</t>
  </si>
  <si>
    <t>Inpatient launch economics, NTAP bridge mechanics, and whole-episode spend in one source-grounded workbook.</t>
  </si>
  <si>
    <t>Built from CMS and source materials in the workbook. Blue cells elsewhere are editable inputs; gray cells are formulas.</t>
  </si>
  <si>
    <t>Technology price / low</t>
  </si>
  <si>
    <t>NTAP percentage</t>
  </si>
  <si>
    <t>No NTAP margin</t>
  </si>
  <si>
    <t>Episode delta</t>
  </si>
  <si>
    <t>User prompt anchor</t>
  </si>
  <si>
    <t>CMS policy reference</t>
  </si>
  <si>
    <t>Bundled DRG absorption</t>
  </si>
  <si>
    <t>Payer-visible spend change</t>
  </si>
  <si>
    <t>What it shows</t>
  </si>
  <si>
    <t>Decision use</t>
  </si>
  <si>
    <t>The workbook separates the DRG payment problem, the NTAP bridge, and the post-reweighting state. It shows how much of the margin story is driven by the product price versus the bundled facility economics around ICU days, floor days, ancillary services, and post-acute utilization.</t>
  </si>
  <si>
    <t>Use the model to compare no-NTAP, NTAP bridge, and post-NTAP economics; test whole-episode savings assumptions; and anchor launch discussions in payment mechanics instead of generic access language.</t>
  </si>
  <si>
    <t>Scenario snapshot</t>
  </si>
  <si>
    <t>Key readout</t>
  </si>
  <si>
    <t>Scenario</t>
  </si>
  <si>
    <t>DRG margin</t>
  </si>
  <si>
    <t>NTAP / delta</t>
  </si>
  <si>
    <t>Episode spend</t>
  </si>
  <si>
    <t>NTAP does not erase the bundled-payment problem; it bridges the initial launch period while the case economics and DRG weights catch up. The episode spend block shows whether product uptake improves the payer lens even when the hospital lens remains tight.</t>
  </si>
  <si>
    <t>No NTAP</t>
  </si>
  <si>
    <t>-</t>
  </si>
  <si>
    <t>NTAP bridge</t>
  </si>
  <si>
    <t>Post-DRG</t>
  </si>
  <si>
    <t>Navigation</t>
  </si>
  <si>
    <t>[Inputs]</t>
  </si>
  <si>
    <t>Editable assumptions and linked inputs</t>
  </si>
  <si>
    <t>Margin ($)</t>
  </si>
  <si>
    <t>[Episode_Cost_Breakdown]</t>
  </si>
  <si>
    <t>Bundled vs non-bundled episode components</t>
  </si>
  <si>
    <t>[Scenario_No_NTAP]</t>
  </si>
  <si>
    <t>Baseline DRG absorption</t>
  </si>
  <si>
    <t>[Scenario_NTAP]</t>
  </si>
  <si>
    <t>NTAP bridge comparison</t>
  </si>
  <si>
    <t>[Episode_Total_Care]</t>
  </si>
  <si>
    <t>Whole-episode payer lens</t>
  </si>
  <si>
    <t>[Sensitivity]</t>
  </si>
  <si>
    <t>Price sensitivity grids</t>
  </si>
  <si>
    <t>[Price_Ladder]</t>
  </si>
  <si>
    <t>DRG margin and episode spend ladder</t>
  </si>
  <si>
    <t>[DRG_Definitions]</t>
  </si>
  <si>
    <t>DRG reference titles</t>
  </si>
  <si>
    <t>[Sources]</t>
  </si>
  <si>
    <t>Source index</t>
  </si>
  <si>
    <t>NTAP Cost Model Inputs (Product X)</t>
  </si>
  <si>
    <t>Input</t>
  </si>
  <si>
    <t>Value</t>
  </si>
  <si>
    <t>Notes</t>
  </si>
  <si>
    <t>Technology price - low</t>
  </si>
  <si>
    <t>User assumption (question prompt)</t>
  </si>
  <si>
    <t>Technology price - mid</t>
  </si>
  <si>
    <t>Technology price - high</t>
  </si>
  <si>
    <t>DRG payment anchor - low</t>
  </si>
  <si>
    <t>Midpoint anchor from user-provided DRG ranges</t>
  </si>
  <si>
    <t>DRG payment anchor - high</t>
  </si>
  <si>
    <t>Upper anchor from user-provided DRG ranges</t>
  </si>
  <si>
    <t>MS-DRG 023 range low</t>
  </si>
  <si>
    <t>MS-DRG 023 range high</t>
  </si>
  <si>
    <t>MS-DRG 024 range low</t>
  </si>
  <si>
    <t>MS-DRG 024 range high</t>
  </si>
  <si>
    <t>Other facility costs (bundled DRG)</t>
  </si>
  <si>
    <t>Linked bundled-facility subtotal from episode sheet</t>
  </si>
  <si>
    <t>Baseline LOS (days)</t>
  </si>
  <si>
    <t>User assumption: baseline 6 to 8 days</t>
  </si>
  <si>
    <t>Baseline ICU days</t>
  </si>
  <si>
    <t>User assumption: baseline 2 to 4 days</t>
  </si>
  <si>
    <t>CMS NTAP policy reference [1]</t>
  </si>
  <si>
    <t>Post-DRG payment scenario</t>
  </si>
  <si>
    <t>Illustrative post-reweighting payment anchor</t>
  </si>
  <si>
    <t>Episode Cost Components - Classified</t>
  </si>
  <si>
    <t>Category</t>
  </si>
  <si>
    <t>What it comes from</t>
  </si>
  <si>
    <t>How it is paid</t>
  </si>
  <si>
    <t>Illustrative math</t>
  </si>
  <si>
    <t>Amount</t>
  </si>
  <si>
    <t>ICU / neuro-ICU monitoring, nursing, telemetry</t>
  </si>
  <si>
    <t>Intensive days cost center; 2-4 ICU days in the Product X materials, with ICU costs of roughly $3K-$5K per day.</t>
  </si>
  <si>
    <t>Bundled into the inpatient MS-DRG under IPPS; may be offset by an outlier payment if the case exceeds the fixed-loss threshold.</t>
  </si>
  <si>
    <t>3 days x $4,000/day</t>
  </si>
  <si>
    <t>Routine floor days, room and board, standard nursing</t>
  </si>
  <si>
    <t>Routine days cost center; the remainder of the 6-8 day hospital stay after ICU time.</t>
  </si>
  <si>
    <t>Bundled into the inpatient MS-DRG under IPPS; not a separate hospital line item.</t>
  </si>
  <si>
    <t>4 days x $1,250/day</t>
  </si>
  <si>
    <t>Ancillary hospital services, pharmacy, supplies, case management</t>
  </si>
  <si>
    <t>Imaging, labs, bag changes, supply handling, and discharge coordination described in the Product X materials.</t>
  </si>
  <si>
    <t>Bundled into the inpatient MS-DRG under IPPS.</t>
  </si>
  <si>
    <t>Illustrative residual allocation</t>
  </si>
  <si>
    <t>Physician professional services</t>
  </si>
  <si>
    <t>Hospitalist, neurologist, interventional and consult services.</t>
  </si>
  <si>
    <t>Paid separately under the Physician Fee Schedule / Part B.</t>
  </si>
  <si>
    <t>Episode-level component; outside hospital DRG margin</t>
  </si>
  <si>
    <t>Post-acute care after discharge</t>
  </si>
  <si>
    <t>SNF, IRF, HHA, LTCH services after the index stay.</t>
  </si>
  <si>
    <t>Paid under separate PPSs outside the index DRG.</t>
  </si>
  <si>
    <t>Readmissions / ED revisit in 90-day window</t>
  </si>
  <si>
    <t>Unplanned post-discharge acute utilization attributable to recurrent events or complications.</t>
  </si>
  <si>
    <t>Paid as separate claims across facility/professional settings.</t>
  </si>
  <si>
    <t>Episode-level component; outside index DRG margin</t>
  </si>
  <si>
    <t>Long-term support and disability-related care (blended expected value)</t>
  </si>
  <si>
    <t>Expected-value allocation for custodial/supportive services in poor functional recovery states.</t>
  </si>
  <si>
    <t>Paid across post-acute and community support channels (payer-dependent).</t>
  </si>
  <si>
    <t>Bundled facility subtotal (used in DRG-margin scenarios)</t>
  </si>
  <si>
    <t>Non-facility subtotal (payer episode lens)</t>
  </si>
  <si>
    <t>Total non-drug episode costs</t>
  </si>
  <si>
    <t>Note</t>
  </si>
  <si>
    <t>DRG margin scenarios use only the bundled facility subtotal. Episode-total scenarios include professional, post-acute, readmission, and long-term support components to capture payer-visible spend.</t>
  </si>
  <si>
    <t>Scenario 1 - No NTAP</t>
  </si>
  <si>
    <t>Metric</t>
  </si>
  <si>
    <t>DRG payment</t>
  </si>
  <si>
    <t>Product X cost</t>
  </si>
  <si>
    <t>Other costs</t>
  </si>
  <si>
    <t>Total cost</t>
  </si>
  <si>
    <t>Margin (no NTAP)</t>
  </si>
  <si>
    <t>Interpretation</t>
  </si>
  <si>
    <t>Negative margin indicates full absorption by hospital under bundled DRG payment.</t>
  </si>
  <si>
    <t>Scenario 2 - NTAP Bridge</t>
  </si>
  <si>
    <t>Policy-Consistent</t>
  </si>
  <si>
    <t>Simplified Planning</t>
  </si>
  <si>
    <t>NTAP amount</t>
  </si>
  <si>
    <t>Margin after NTAP</t>
  </si>
  <si>
    <t>Policy-consistent formula follows CMS language in [1].</t>
  </si>
  <si>
    <t>Simplified planning formula mirrors common market shorthand.</t>
  </si>
  <si>
    <t>Scenario 3 - Post-NTAP / DRG Reweighting</t>
  </si>
  <si>
    <t>Margin</t>
  </si>
  <si>
    <t>Whole-Episode Spend Model (Payer Lens)</t>
  </si>
  <si>
    <t>Assumption</t>
  </si>
  <si>
    <t>Base scenario: physician spend reduction</t>
  </si>
  <si>
    <t>Base scenario: post-acute spend reduction</t>
  </si>
  <si>
    <t>Base scenario: readmission/ED spend reduction</t>
  </si>
  <si>
    <t>Base scenario: long-term support reduction</t>
  </si>
  <si>
    <t>Component</t>
  </si>
  <si>
    <t>Baseline (No Product X)</t>
  </si>
  <si>
    <t>With Product X + NTAP Bridge</t>
  </si>
  <si>
    <t>Delta</t>
  </si>
  <si>
    <t>Index inpatient payment</t>
  </si>
  <si>
    <t>Post-acute care</t>
  </si>
  <si>
    <t>Readmission and ED revisit</t>
  </si>
  <si>
    <t>Long-term support / disability-related care</t>
  </si>
  <si>
    <t>Total payer-visible episode spend</t>
  </si>
  <si>
    <t>Base scenario only. Use Episode_Scenarios sheet for conservative/base/optimistic sensitivity.</t>
  </si>
  <si>
    <t>Sensitivity Grid - Margin Without NTAP</t>
  </si>
  <si>
    <t>Price \ DRG</t>
  </si>
  <si>
    <t>Sensitivity Grid - Margin With Policy-Consistent NTAP</t>
  </si>
  <si>
    <t>Stroke/EVT-Related MS-DRG Relative Weights (FY2020 to FY2026)</t>
  </si>
  <si>
    <t>FY</t>
  </si>
  <si>
    <t>023</t>
  </si>
  <si>
    <t>024</t>
  </si>
  <si>
    <t>061</t>
  </si>
  <si>
    <t>062</t>
  </si>
  <si>
    <t>063</t>
  </si>
  <si>
    <t>Source</t>
  </si>
  <si>
    <t>[13]</t>
  </si>
  <si>
    <t>[14]</t>
  </si>
  <si>
    <t>[15]</t>
  </si>
  <si>
    <t>[16]</t>
  </si>
  <si>
    <t>[17]</t>
  </si>
  <si>
    <t>[18]</t>
  </si>
  <si>
    <t>[19]</t>
  </si>
  <si>
    <t>Annual YoY Change by DRG (FY2021 to FY2026)</t>
  </si>
  <si>
    <t>DRG Definitions Used in Stroke/EVT Modeling (FY 2026 titles)</t>
  </si>
  <si>
    <t>DRG</t>
  </si>
  <si>
    <t>FY 2026 title</t>
  </si>
  <si>
    <t>CRANIOTOMY WITH MAJOR DEVICE IMPLANT OR ACUTE COMPLEX CNS PRINCIPAL DIAGNOSIS WITH MCC OR ANTINEOPLASTIC IMPLANT OR EPILEPSY WITH NEUROSTIMULATOR</t>
  </si>
  <si>
    <t>CRANIOTOMY WITH MAJOR DEVICE IMPLANT OR ACUTE COMPLEX CNS PRINCIPAL DIAGNOSIS WITHOUT MCC</t>
  </si>
  <si>
    <t>ISCHEMIC STROKE, PRECEREBRAL OCCLUSION OR TRANSIENT ISCHEMIA WITH THROMBOLYTIC AGENT WITH MCC</t>
  </si>
  <si>
    <t>ISCHEMIC STROKE, PRECEREBRAL OCCLUSION OR TRANSIENT ISCHEMIA WITH THROMBOLYTIC AGENT WITH CC</t>
  </si>
  <si>
    <t>ISCHEMIC STROKE, PRECEREBRAL OCCLUSION OR TRANSIENT ISCHEMIA WITH THROMBOLYTIC AGENT WITHOUT CC/MCC</t>
  </si>
  <si>
    <t>DRGs listed here are directional comparators for payment-adequacy analysis, not a final Product X grouping determination.</t>
  </si>
  <si>
    <t>Price Ladder: DRG Margin and Whole-Episode Spend</t>
  </si>
  <si>
    <t>Product X Price</t>
  </si>
  <si>
    <t>DRG Margin (No NTAP)</t>
  </si>
  <si>
    <t>NTAP Amount</t>
  </si>
  <si>
    <t>DRG Margin (With NTAP)</t>
  </si>
  <si>
    <t>Baseline Episode Spend</t>
  </si>
  <si>
    <t>Episode Spend (With Product + NTAP)</t>
  </si>
  <si>
    <t>Episode Delta</t>
  </si>
  <si>
    <t>Negative episode delta = total episode savings</t>
  </si>
  <si>
    <t>Assumption note</t>
  </si>
  <si>
    <t>Price ladder uses the Base scenario from Episode_Scenarios. Optimistic long-term support avoidance is modeled sensitivity, not guaranteed outcome.</t>
  </si>
  <si>
    <t>Episode Savings Scenarios (Conservative / Base / Optimistic)</t>
  </si>
  <si>
    <t>Physician Reduction</t>
  </si>
  <si>
    <t>Post-Acute Reduction</t>
  </si>
  <si>
    <t>Readmission Reduction</t>
  </si>
  <si>
    <t>Long-Term Support Reduction</t>
  </si>
  <si>
    <t>Episode Delta @ $25K</t>
  </si>
  <si>
    <t>Episode Delta @ $35K</t>
  </si>
  <si>
    <t>Episode Delta @ $50K</t>
  </si>
  <si>
    <t>Conservative</t>
  </si>
  <si>
    <t>Modest utilization shift</t>
  </si>
  <si>
    <t>Base</t>
  </si>
  <si>
    <t>Moderate utilization and discharge shift</t>
  </si>
  <si>
    <t>Optimistic</t>
  </si>
  <si>
    <t>Long-term support modeled as full avoidance</t>
  </si>
  <si>
    <t>Public Sources Used</t>
  </si>
  <si>
    <t>Ref</t>
  </si>
  <si>
    <t>Topic</t>
  </si>
  <si>
    <t>URL</t>
  </si>
  <si>
    <t>[1]</t>
  </si>
  <si>
    <t>CMS New Medical Services and New Technologies (NTAP) page</t>
  </si>
  <si>
    <t>https://www.cms.gov/medicare/payment/prospective-payment-systems/acute-inpatient-pps/new-medical-services-and-new-technologies</t>
  </si>
  <si>
    <t>[2]</t>
  </si>
  <si>
    <t>FY 2027 NTAP application resources zip</t>
  </si>
  <si>
    <t>https://www.cms.gov/files/zip/fy2027ntapapplication-resources-reference-onlyzip.zip</t>
  </si>
  <si>
    <t>[3]</t>
  </si>
  <si>
    <t>MEARIS public resources</t>
  </si>
  <si>
    <t>https://mearis.cms.gov/public/resources</t>
  </si>
  <si>
    <t>[4]</t>
  </si>
  <si>
    <t>MEARIS public publications</t>
  </si>
  <si>
    <t>https://mearis.cms.gov/public/publications</t>
  </si>
  <si>
    <t>[5]</t>
  </si>
  <si>
    <t>Process for requesting new/revised ICD-10-PCS procedure codes</t>
  </si>
  <si>
    <t>https://www.cms.gov/medicare/coding-billing/icd-10-codes/process-for-requesting-new-revised-icd-10-pcs-procedure-codes</t>
  </si>
  <si>
    <t>[6]</t>
  </si>
  <si>
    <t>Acute Inpatient PPS landing page</t>
  </si>
  <si>
    <t>https://www.cms.gov/medicare/payment/prospective-payment-systems/acute-inpatient-pps</t>
  </si>
  <si>
    <t>[7]</t>
  </si>
  <si>
    <t>CMS guide for medical technology companies and other interested parties - IPPS</t>
  </si>
  <si>
    <t>https://www.cms.gov/cms-guide-medical-technology-companies-and-other-interested-parties/payment/ipps</t>
  </si>
  <si>
    <t>[8]</t>
  </si>
  <si>
    <t>CMS outlier payments page</t>
  </si>
  <si>
    <t>https://www.cms.gov/Medicare/Medicare-Fee-for-Service-Payment/AcuteInpatientPPS/outlier.html</t>
  </si>
  <si>
    <t>[9]</t>
  </si>
  <si>
    <t>Physician Fee Schedule</t>
  </si>
  <si>
    <t>https://www.cms.gov/cms-guide-medical-technology-companies-and-other-interested-parties/payment/physician-fee-schedule</t>
  </si>
  <si>
    <t>[10]</t>
  </si>
  <si>
    <t>Prospective Payment Systems - General Information</t>
  </si>
  <si>
    <t>https://www.cms.gov/medicare/payment/prospective-payment-systems</t>
  </si>
  <si>
    <t>[11]</t>
  </si>
  <si>
    <t>FY 2026 ICD-10-PCS code tables and index zip</t>
  </si>
  <si>
    <t>https://www.cms.gov/files/zip/2026-icd-10-pcs-code-tables-and-index.zip</t>
  </si>
  <si>
    <t>[12]</t>
  </si>
  <si>
    <t>FY 2026 ICD-10-PCS codes file zip</t>
  </si>
  <si>
    <t>https://www.cms.gov/files/zip/2026-icd-10-pcs-codes-file.zip</t>
  </si>
  <si>
    <t>FY 2020 IPPS Table 5 zip</t>
  </si>
  <si>
    <t>https://www.cms.gov/medicare/medicare-fee-for-service-payment/acuteinpatientpps/downloads/fy2020-fr-table-5.zip</t>
  </si>
  <si>
    <t>FY 2021 IPPS Table 5 zip</t>
  </si>
  <si>
    <t>https://www.cms.gov/files/zip/fy-2021-ipps-fr-table-5.zip</t>
  </si>
  <si>
    <t>FY 2022 IPPS Table 5 zip</t>
  </si>
  <si>
    <t>https://www.cms.gov/files/zip/fy2022-ipps-fr-table-5-fy-2022-ms-drgs-relative-weighting-factors-and-geometric-and-arithmetic-mean.zip</t>
  </si>
  <si>
    <t>FY 2023 IPPS Table 5 zip</t>
  </si>
  <si>
    <t>https://www.cms.gov/files/zip/fy2023-ipps-fr-table-5.zip</t>
  </si>
  <si>
    <t>FY 2024 IPPS Table 5 zip</t>
  </si>
  <si>
    <t>https://www.cms.gov/files/zip/fy2024-ipps-fr-table-5.zip</t>
  </si>
  <si>
    <t>FY 2025 IPPS Table 5 zip</t>
  </si>
  <si>
    <t>https://www.cms.gov/files/zip/fy-2025-ipps-final-rule-table-5.zip</t>
  </si>
  <si>
    <t>FY 2026 IPPS Table 5 zip</t>
  </si>
  <si>
    <t>https://www.cms.gov/files/zip/fy2026-ipps-fr-table-5.zip</t>
  </si>
  <si>
    <t>[20]</t>
  </si>
  <si>
    <t>JNIS 2023 thrombectomy trend analysis</t>
  </si>
  <si>
    <t>https://jnis.bmj.com/content/15/e3/e349</t>
  </si>
  <si>
    <t>[21]</t>
  </si>
  <si>
    <t>CMS SNF payment basics (post-acute separate PPS)</t>
  </si>
  <si>
    <t>https://www.cms.gov/Outreach-and-Education/Medicare-Learning-Network-MLN/MLNProducts/EnrollmentResources/provider-resources/snf/</t>
  </si>
  <si>
    <t>[22]</t>
  </si>
  <si>
    <t>CMS 3-day payment window (outpatient services rolled into inpatient Part A bill)</t>
  </si>
  <si>
    <t>https://www.cms.gov/medicare/payment/prospective-payment-systems/acute-inpatient-pps/three-day-payment-window</t>
  </si>
  <si>
    <t>[23]</t>
  </si>
  <si>
    <t>Open-access acute ischemic stroke cost reference</t>
  </si>
  <si>
    <t>https://pmc.ncbi.nlm.nih.gov/articles/PMC11064842/</t>
  </si>
  <si>
    <t>[24]</t>
  </si>
  <si>
    <t>2026 Official ICD-10-PCS Coding Guidelines</t>
  </si>
  <si>
    <t>https://www.cms.gov/files/document/2026-official-icd-10-pcs-coding-guidelines.pdf</t>
  </si>
  <si>
    <t>Physician professional services = per CPT Payment = (Total RVUs} *{Conversion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</si>
</sst>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
    <numFmt numFmtId="166" formatCode="\$#,##0;[Red]\(\$#,##0\)"/>
    <numFmt numFmtId="167" formatCode="0.0000"/>
    <numFmt numFmtId="168" formatCode="\$#,##0;[Red]\(\$#,##0\);\-"/>
    <numFmt numFmtId="169" formatCode="0.0%;[Red]\(0.0%\);\-"/>
  </numFmts>
  <fonts count="15" x14ac:knownFonts="1">
    <font>
      <sz val="11"/>
      <color theme="1"/>
      <name val="Calibri"/>
      <family val="2"/>
      <scheme val="minor"/>
    </font>
    <font>
      <b/>
      <sz val="14"/>
      <name val="Calibri"/>
      <family val="2"/>
    </font>
    <font>
      <b/>
      <sz val="11"/>
      <color rgb="FFFFFFFF"/>
      <name val="Calibri"/>
      <family val="2"/>
    </font>
    <font>
      <sz val="11"/>
      <color rgb="FF0000FF"/>
      <name val="Calibri"/>
      <family val="2"/>
    </font>
    <font>
      <b/>
      <sz val="13"/>
      <name val="Calibri"/>
      <family val="2"/>
    </font>
    <font>
      <b/>
      <sz val="11"/>
      <name val="Calibri"/>
      <family val="2"/>
    </font>
    <font>
      <u/>
      <sz val="11"/>
      <color rgb="FF0563C1"/>
      <name val="Calibri"/>
      <family val="2"/>
    </font>
    <font>
      <b/>
      <sz val="22"/>
      <color rgb="FFFFFFFF"/>
      <name val="Calibri"/>
      <family val="2"/>
    </font>
    <font>
      <i/>
      <sz val="11"/>
      <color rgb="FFDCE6F7"/>
      <name val="Calibri"/>
      <family val="2"/>
    </font>
    <font>
      <b/>
      <sz val="10"/>
      <color rgb="FFFFFFFF"/>
      <name val="Calibri"/>
      <family val="2"/>
    </font>
    <font>
      <b/>
      <sz val="18"/>
      <color rgb="FF143A66"/>
      <name val="Calibri"/>
      <family val="2"/>
    </font>
    <font>
      <sz val="9"/>
      <color rgb="FFEDF3FA"/>
      <name val="Calibri"/>
      <family val="2"/>
    </font>
    <font>
      <b/>
      <sz val="11"/>
      <color rgb="FFFFFFFF"/>
      <name val="Calibri"/>
      <family val="2"/>
    </font>
    <font>
      <sz val="11"/>
      <color rgb="FF102030"/>
      <name val="Calibri"/>
      <family val="2"/>
    </font>
    <font>
      <b/>
      <u/>
      <sz val="11"/>
      <color rgb="FF2D6CDF"/>
      <name val="Calibri"/>
      <family val="2"/>
    </font>
  </fonts>
  <fills count="11">
    <fill>
      <patternFill patternType="none"/>
    </fill>
    <fill>
      <patternFill patternType="gray125"/>
    </fill>
    <fill>
      <patternFill patternType="solid">
        <fgColor rgb="FF1F4E78"/>
      </patternFill>
    </fill>
    <fill>
      <patternFill patternType="solid">
        <fgColor rgb="FFD9E1F2"/>
      </patternFill>
    </fill>
    <fill>
      <patternFill patternType="solid">
        <fgColor rgb="FF143A66"/>
      </patternFill>
    </fill>
    <fill>
      <patternFill patternType="solid">
        <fgColor rgb="FFE9F6F8"/>
      </patternFill>
    </fill>
    <fill>
      <patternFill patternType="solid">
        <fgColor rgb="FFEEF2F7"/>
      </patternFill>
    </fill>
    <fill>
      <patternFill patternType="solid">
        <fgColor rgb="FFE7EDF8"/>
      </patternFill>
    </fill>
    <fill>
      <patternFill patternType="solid">
        <fgColor rgb="FFEDF7EF"/>
      </patternFill>
    </fill>
    <fill>
      <patternFill patternType="solid">
        <fgColor rgb="FF1F5AA6"/>
      </patternFill>
    </fill>
    <fill>
      <patternFill patternType="solid">
        <fgColor rgb="FFF3F5F7"/>
      </patternFill>
    </fill>
  </fills>
  <borders count="3">
    <border>
      <left/>
      <right/>
      <top/>
      <bottom/>
      <diagonal/>
    </border>
    <border>
      <left/>
      <right/>
      <top/>
      <bottom style="thin">
        <color rgb="FFD0D7E2"/>
      </bottom>
      <diagonal/>
    </border>
    <border>
      <left/>
      <right/>
      <top style="medium">
        <color rgb="FF143A66"/>
      </top>
      <bottom style="thin">
        <color rgb="FFD0D7E2"/>
      </bottom>
      <diagonal/>
    </border>
  </borders>
  <cellStyleXfs count="1">
    <xf numFmtId="0" fontId="0" fillId="0" borderId="0"/>
  </cellStyleXfs>
  <cellXfs count="43">
    <xf numFmtId="0" fontId="0" fillId="0" borderId="0" xfId="0"/>
    <xf numFmtId="0" fontId="2" fillId="2" borderId="0" xfId="0" applyFont="1" applyFill="1"/>
    <xf numFmtId="0" fontId="3" fillId="0" borderId="0" xfId="0" applyFont="1"/>
    <xf numFmtId="164" fontId="3" fillId="0" borderId="0" xfId="0" applyNumberFormat="1" applyFont="1"/>
    <xf numFmtId="0" fontId="4" fillId="0" borderId="0" xfId="0" applyFont="1"/>
    <xf numFmtId="165" fontId="0" fillId="0" borderId="0" xfId="0" applyNumberFormat="1"/>
    <xf numFmtId="0" fontId="5" fillId="0" borderId="0" xfId="0" applyFont="1"/>
    <xf numFmtId="0" fontId="0" fillId="0" borderId="0" xfId="0" applyAlignment="1">
      <alignment wrapText="1"/>
    </xf>
    <xf numFmtId="166" fontId="0" fillId="0" borderId="0" xfId="0" applyNumberFormat="1"/>
    <xf numFmtId="166" fontId="5" fillId="0" borderId="0" xfId="0" applyNumberFormat="1" applyFont="1"/>
    <xf numFmtId="165" fontId="2" fillId="2" borderId="0" xfId="0" applyNumberFormat="1" applyFont="1" applyFill="1"/>
    <xf numFmtId="165" fontId="5" fillId="3" borderId="0" xfId="0" applyNumberFormat="1" applyFont="1" applyFill="1"/>
    <xf numFmtId="167" fontId="0" fillId="0" borderId="0" xfId="0" applyNumberFormat="1"/>
    <xf numFmtId="164" fontId="0" fillId="0" borderId="0" xfId="0" applyNumberFormat="1"/>
    <xf numFmtId="0" fontId="0" fillId="0" borderId="0" xfId="0" applyAlignment="1">
      <alignment vertical="top" wrapText="1"/>
    </xf>
    <xf numFmtId="0" fontId="6" fillId="0" borderId="0" xfId="0" applyFont="1" applyAlignment="1">
      <alignment vertical="top" wrapText="1"/>
    </xf>
    <xf numFmtId="0" fontId="12" fillId="9" borderId="2" xfId="0" applyFont="1" applyFill="1" applyBorder="1" applyAlignment="1">
      <alignment horizontal="center" vertical="center" wrapText="1"/>
    </xf>
    <xf numFmtId="0" fontId="13" fillId="0" borderId="1" xfId="0" applyFont="1" applyBorder="1"/>
    <xf numFmtId="168" fontId="13" fillId="10" borderId="1" xfId="0" applyNumberFormat="1" applyFont="1" applyFill="1" applyBorder="1"/>
    <xf numFmtId="0" fontId="12" fillId="9" borderId="2" xfId="0" applyFont="1" applyFill="1" applyBorder="1" applyAlignment="1">
      <alignment horizontal="center" vertical="center"/>
    </xf>
    <xf numFmtId="0" fontId="13" fillId="0" borderId="0" xfId="0" applyFont="1"/>
    <xf numFmtId="168" fontId="13" fillId="10" borderId="0" xfId="0" applyNumberFormat="1" applyFont="1" applyFill="1"/>
    <xf numFmtId="0" fontId="13" fillId="0" borderId="0" xfId="0" applyFont="1" applyAlignment="1">
      <alignment horizontal="left" vertical="center"/>
    </xf>
    <xf numFmtId="0" fontId="0" fillId="0" borderId="0" xfId="0"/>
    <xf numFmtId="0" fontId="14" fillId="0" borderId="0" xfId="0" applyFont="1" applyAlignment="1">
      <alignment horizontal="left" vertical="center"/>
    </xf>
    <xf numFmtId="168" fontId="10" fillId="7" borderId="1" xfId="0" applyNumberFormat="1" applyFont="1" applyFill="1" applyBorder="1" applyAlignment="1">
      <alignment horizontal="left" vertical="center"/>
    </xf>
    <xf numFmtId="0" fontId="0" fillId="0" borderId="1" xfId="0" applyBorder="1"/>
    <xf numFmtId="168" fontId="10" fillId="8" borderId="1" xfId="0" applyNumberFormat="1" applyFont="1" applyFill="1" applyBorder="1" applyAlignment="1">
      <alignment horizontal="left" vertical="center"/>
    </xf>
    <xf numFmtId="0" fontId="9" fillId="4" borderId="1" xfId="0" applyFont="1" applyFill="1" applyBorder="1" applyAlignment="1">
      <alignment horizontal="left" vertical="center"/>
    </xf>
    <xf numFmtId="0" fontId="13" fillId="10" borderId="0" xfId="0" applyFont="1" applyFill="1" applyAlignment="1">
      <alignment vertical="top" wrapText="1"/>
    </xf>
    <xf numFmtId="0" fontId="7" fillId="4" borderId="0" xfId="0" applyFont="1" applyFill="1" applyAlignment="1">
      <alignment horizontal="left" vertical="center"/>
    </xf>
    <xf numFmtId="0" fontId="0" fillId="4" borderId="0" xfId="0" applyFill="1"/>
    <xf numFmtId="0" fontId="11" fillId="8" borderId="1" xfId="0" applyFont="1" applyFill="1" applyBorder="1" applyAlignment="1">
      <alignment horizontal="left" vertical="center" wrapText="1"/>
    </xf>
    <xf numFmtId="0" fontId="12" fillId="9" borderId="0" xfId="0" applyFont="1" applyFill="1" applyAlignment="1">
      <alignment horizontal="left" vertical="center"/>
    </xf>
    <xf numFmtId="0" fontId="11" fillId="7" borderId="1" xfId="0" applyFont="1" applyFill="1" applyBorder="1" applyAlignment="1">
      <alignment horizontal="left" vertical="center" wrapText="1"/>
    </xf>
    <xf numFmtId="0" fontId="8" fillId="4" borderId="0" xfId="0" applyFont="1" applyFill="1" applyAlignment="1">
      <alignment horizontal="left" vertical="center"/>
    </xf>
    <xf numFmtId="169" fontId="10" fillId="6" borderId="1" xfId="0" applyNumberFormat="1" applyFont="1" applyFill="1" applyBorder="1" applyAlignment="1">
      <alignment horizontal="left" vertical="center"/>
    </xf>
    <xf numFmtId="0" fontId="8" fillId="4" borderId="0" xfId="0" applyFont="1" applyFill="1" applyAlignment="1">
      <alignment horizontal="left" vertical="center" wrapText="1"/>
    </xf>
    <xf numFmtId="0" fontId="11" fillId="5"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168" fontId="10" fillId="5" borderId="1" xfId="0" applyNumberFormat="1" applyFont="1" applyFill="1" applyBorder="1" applyAlignment="1">
      <alignment horizontal="left" vertical="center"/>
    </xf>
    <xf numFmtId="0" fontId="1"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autoTitleDeleted val="1"/>
    <c:plotArea>
      <c:layout/>
      <c:barChart>
        <c:barDir val="bar"/>
        <c:grouping val="clustered"/>
        <c:varyColors val="1"/>
        <c:ser>
          <c:idx val="0"/>
          <c:order val="0"/>
          <c:tx>
            <c:strRef>
              <c:f>Cover!$K$24</c:f>
              <c:strCache>
                <c:ptCount val="1"/>
                <c:pt idx="0">
                  <c:v>Margin ($)</c:v>
                </c:pt>
              </c:strCache>
            </c:strRef>
          </c:tx>
          <c:spPr>
            <a:ln>
              <a:prstDash val="solid"/>
            </a:ln>
          </c:spPr>
          <c:invertIfNegative val="1"/>
          <c:cat>
            <c:strRef>
              <c:f>Cover!$J$25:$J$27</c:f>
              <c:strCache>
                <c:ptCount val="3"/>
                <c:pt idx="0">
                  <c:v>No NTAP</c:v>
                </c:pt>
                <c:pt idx="1">
                  <c:v>NTAP bridge</c:v>
                </c:pt>
                <c:pt idx="2">
                  <c:v>Post-DRG</c:v>
                </c:pt>
              </c:strCache>
            </c:strRef>
          </c:cat>
          <c:val>
            <c:numRef>
              <c:f>Cover!$K$25:$K$27</c:f>
              <c:numCache>
                <c:formatCode>\$#,##0;[Red]\(\$#,##0\);\-</c:formatCode>
                <c:ptCount val="3"/>
                <c:pt idx="0">
                  <c:v>-15000</c:v>
                </c:pt>
                <c:pt idx="1">
                  <c:v>-5250</c:v>
                </c:pt>
                <c:pt idx="2">
                  <c:v>5000</c:v>
                </c:pt>
              </c:numCache>
            </c:numRef>
          </c:val>
          <c:extLst>
            <c:ext xmlns:c16="http://schemas.microsoft.com/office/drawing/2014/chart" uri="{C3380CC4-5D6E-409C-BE32-E72D297353CC}">
              <c16:uniqueId val="{00000000-B8EC-DC47-A2A3-E424B1707D72}"/>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 / episode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Red]\(\$#,##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0</xdr:colOff>
      <xdr:row>1</xdr:row>
      <xdr:rowOff>0</xdr:rowOff>
    </xdr:from>
    <xdr:ext cx="3168000" cy="2808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showGridLines="0" zoomScale="90" workbookViewId="0">
      <selection sqref="A1:D1"/>
    </sheetView>
  </sheetViews>
  <sheetFormatPr baseColWidth="10" defaultColWidth="8.83203125" defaultRowHeight="15" x14ac:dyDescent="0.2"/>
  <cols>
    <col min="1" max="8" width="16" customWidth="1"/>
    <col min="9" max="9" width="4" customWidth="1"/>
    <col min="10" max="12" width="18" customWidth="1"/>
  </cols>
  <sheetData>
    <row r="1" spans="1:12" ht="22" customHeight="1" x14ac:dyDescent="0.2">
      <c r="A1" s="30" t="s">
        <v>0</v>
      </c>
      <c r="B1" s="31"/>
      <c r="C1" s="31"/>
      <c r="D1" s="31"/>
      <c r="E1" s="31"/>
      <c r="F1" s="31"/>
      <c r="G1" s="31"/>
      <c r="H1" s="31"/>
      <c r="J1" s="33" t="s">
        <v>1</v>
      </c>
      <c r="K1" s="23"/>
      <c r="L1" s="23"/>
    </row>
    <row r="2" spans="1:12" ht="20" customHeight="1" x14ac:dyDescent="0.2">
      <c r="A2" s="37" t="s">
        <v>2</v>
      </c>
      <c r="B2" s="31"/>
      <c r="C2" s="31"/>
      <c r="D2" s="31"/>
      <c r="E2" s="31"/>
      <c r="F2" s="31"/>
      <c r="G2" s="31"/>
      <c r="H2" s="31"/>
    </row>
    <row r="3" spans="1:12" ht="20" customHeight="1" x14ac:dyDescent="0.2">
      <c r="A3" s="35" t="s">
        <v>3</v>
      </c>
      <c r="B3" s="31"/>
      <c r="C3" s="31"/>
      <c r="D3" s="31"/>
      <c r="E3" s="31"/>
      <c r="F3" s="31"/>
      <c r="G3" s="31"/>
      <c r="H3" s="31"/>
    </row>
    <row r="4" spans="1:12" ht="20" customHeight="1" x14ac:dyDescent="0.2"/>
    <row r="5" spans="1:12" ht="20" customHeight="1" x14ac:dyDescent="0.2">
      <c r="A5" s="28" t="s">
        <v>4</v>
      </c>
      <c r="B5" s="26"/>
      <c r="C5" s="28" t="s">
        <v>5</v>
      </c>
      <c r="D5" s="26"/>
      <c r="E5" s="28" t="s">
        <v>6</v>
      </c>
      <c r="F5" s="26"/>
      <c r="G5" s="28" t="s">
        <v>7</v>
      </c>
      <c r="H5" s="26"/>
    </row>
    <row r="6" spans="1:12" ht="20" customHeight="1" x14ac:dyDescent="0.2">
      <c r="A6" s="40">
        <f>Inputs!B4</f>
        <v>25000</v>
      </c>
      <c r="B6" s="26"/>
      <c r="C6" s="36">
        <f>Inputs!B16</f>
        <v>0.65</v>
      </c>
      <c r="D6" s="26"/>
      <c r="E6" s="25">
        <f>Scenario_No_NTAP!B8</f>
        <v>-15000</v>
      </c>
      <c r="F6" s="26"/>
      <c r="G6" s="27">
        <f>Episode_Total_Care!D15</f>
        <v>-4350</v>
      </c>
      <c r="H6" s="26"/>
    </row>
    <row r="7" spans="1:12" ht="20" customHeight="1" x14ac:dyDescent="0.2">
      <c r="A7" s="26"/>
      <c r="B7" s="26"/>
      <c r="C7" s="26"/>
      <c r="D7" s="26"/>
      <c r="E7" s="26"/>
      <c r="F7" s="26"/>
      <c r="G7" s="26"/>
      <c r="H7" s="26"/>
    </row>
    <row r="8" spans="1:12" ht="20" customHeight="1" x14ac:dyDescent="0.2">
      <c r="A8" s="38" t="s">
        <v>8</v>
      </c>
      <c r="B8" s="26"/>
      <c r="C8" s="39" t="s">
        <v>9</v>
      </c>
      <c r="D8" s="26"/>
      <c r="E8" s="34" t="s">
        <v>10</v>
      </c>
      <c r="F8" s="26"/>
      <c r="G8" s="32" t="s">
        <v>11</v>
      </c>
      <c r="H8" s="26"/>
    </row>
    <row r="9" spans="1:12" ht="20" customHeight="1" x14ac:dyDescent="0.2"/>
    <row r="10" spans="1:12" ht="20" customHeight="1" x14ac:dyDescent="0.2">
      <c r="A10" s="33" t="s">
        <v>12</v>
      </c>
      <c r="B10" s="23"/>
      <c r="C10" s="23"/>
      <c r="D10" s="23"/>
      <c r="E10" s="33" t="s">
        <v>13</v>
      </c>
      <c r="F10" s="23"/>
      <c r="G10" s="23"/>
      <c r="H10" s="23"/>
    </row>
    <row r="11" spans="1:12" ht="20" customHeight="1" x14ac:dyDescent="0.2">
      <c r="A11" s="29" t="s">
        <v>14</v>
      </c>
      <c r="B11" s="23"/>
      <c r="C11" s="23"/>
      <c r="D11" s="23"/>
      <c r="E11" s="29" t="s">
        <v>15</v>
      </c>
      <c r="F11" s="23"/>
      <c r="G11" s="23"/>
      <c r="H11" s="23"/>
    </row>
    <row r="12" spans="1:12" ht="20" customHeight="1" x14ac:dyDescent="0.2">
      <c r="A12" s="23"/>
      <c r="B12" s="23"/>
      <c r="C12" s="23"/>
      <c r="D12" s="23"/>
      <c r="E12" s="23"/>
      <c r="F12" s="23"/>
      <c r="G12" s="23"/>
      <c r="H12" s="23"/>
    </row>
    <row r="13" spans="1:12" ht="20" customHeight="1" x14ac:dyDescent="0.2">
      <c r="A13" s="23"/>
      <c r="B13" s="23"/>
      <c r="C13" s="23"/>
      <c r="D13" s="23"/>
      <c r="E13" s="23"/>
      <c r="F13" s="23"/>
      <c r="G13" s="23"/>
      <c r="H13" s="23"/>
    </row>
    <row r="14" spans="1:12" ht="20" customHeight="1" x14ac:dyDescent="0.2">
      <c r="A14" s="23"/>
      <c r="B14" s="23"/>
      <c r="C14" s="23"/>
      <c r="D14" s="23"/>
      <c r="E14" s="23"/>
      <c r="F14" s="23"/>
      <c r="G14" s="23"/>
      <c r="H14" s="23"/>
    </row>
    <row r="15" spans="1:12" ht="20" customHeight="1" x14ac:dyDescent="0.2">
      <c r="A15" s="23"/>
      <c r="B15" s="23"/>
      <c r="C15" s="23"/>
      <c r="D15" s="23"/>
      <c r="E15" s="23"/>
      <c r="F15" s="23"/>
      <c r="G15" s="23"/>
      <c r="H15" s="23"/>
    </row>
    <row r="16" spans="1:12" ht="20" customHeight="1" x14ac:dyDescent="0.2">
      <c r="A16" s="23"/>
      <c r="B16" s="23"/>
      <c r="C16" s="23"/>
      <c r="D16" s="23"/>
      <c r="E16" s="23"/>
      <c r="F16" s="23"/>
      <c r="G16" s="23"/>
      <c r="H16" s="23"/>
    </row>
    <row r="17" spans="1:11" ht="20" customHeight="1" x14ac:dyDescent="0.2"/>
    <row r="18" spans="1:11" ht="20" customHeight="1" x14ac:dyDescent="0.2">
      <c r="A18" s="33" t="s">
        <v>16</v>
      </c>
      <c r="B18" s="23"/>
      <c r="C18" s="23"/>
      <c r="D18" s="23"/>
      <c r="E18" s="33" t="s">
        <v>17</v>
      </c>
      <c r="F18" s="23"/>
      <c r="G18" s="23"/>
      <c r="H18" s="23"/>
    </row>
    <row r="19" spans="1:11" ht="20" customHeight="1" x14ac:dyDescent="0.2">
      <c r="A19" s="16" t="s">
        <v>18</v>
      </c>
      <c r="B19" s="16" t="s">
        <v>19</v>
      </c>
      <c r="C19" s="16" t="s">
        <v>20</v>
      </c>
      <c r="D19" s="16" t="s">
        <v>21</v>
      </c>
      <c r="E19" s="29" t="s">
        <v>22</v>
      </c>
      <c r="F19" s="23"/>
      <c r="G19" s="23"/>
      <c r="H19" s="23"/>
    </row>
    <row r="20" spans="1:11" ht="20" customHeight="1" x14ac:dyDescent="0.2">
      <c r="A20" s="17" t="s">
        <v>23</v>
      </c>
      <c r="B20" s="18">
        <f>Scenario_No_NTAP!B8</f>
        <v>-15000</v>
      </c>
      <c r="C20" s="18" t="s">
        <v>24</v>
      </c>
      <c r="D20" s="18">
        <f>Episode_Total_Care!B15</f>
        <v>65500</v>
      </c>
      <c r="E20" s="23"/>
      <c r="F20" s="23"/>
      <c r="G20" s="23"/>
      <c r="H20" s="23"/>
    </row>
    <row r="21" spans="1:11" ht="20" customHeight="1" x14ac:dyDescent="0.2">
      <c r="A21" s="17" t="s">
        <v>25</v>
      </c>
      <c r="B21" s="18">
        <f>Scenario_NTAP!B9</f>
        <v>-5250</v>
      </c>
      <c r="C21" s="18">
        <f>Scenario_NTAP!B8</f>
        <v>9750</v>
      </c>
      <c r="D21" s="18">
        <f>Episode_Total_Care!C15</f>
        <v>61150</v>
      </c>
      <c r="E21" s="23"/>
      <c r="F21" s="23"/>
      <c r="G21" s="23"/>
      <c r="H21" s="23"/>
    </row>
    <row r="22" spans="1:11" ht="20" customHeight="1" x14ac:dyDescent="0.2">
      <c r="A22" s="17" t="s">
        <v>26</v>
      </c>
      <c r="B22" s="18">
        <f>Scenario_Post_DRG!B8</f>
        <v>5000</v>
      </c>
      <c r="C22" s="18" t="s">
        <v>24</v>
      </c>
      <c r="D22" s="18">
        <f>Price_Ladder!E4</f>
        <v>65500</v>
      </c>
      <c r="E22" s="23"/>
      <c r="F22" s="23"/>
      <c r="G22" s="23"/>
      <c r="H22" s="23"/>
    </row>
    <row r="23" spans="1:11" ht="20" customHeight="1" x14ac:dyDescent="0.2">
      <c r="A23" s="33" t="s">
        <v>27</v>
      </c>
      <c r="B23" s="23"/>
      <c r="C23" s="23"/>
      <c r="D23" s="23"/>
      <c r="E23" s="23"/>
      <c r="F23" s="23"/>
      <c r="G23" s="23"/>
      <c r="H23" s="23"/>
    </row>
    <row r="24" spans="1:11" ht="20" customHeight="1" x14ac:dyDescent="0.2">
      <c r="A24" s="24" t="s">
        <v>28</v>
      </c>
      <c r="B24" s="23"/>
      <c r="C24" s="22" t="s">
        <v>29</v>
      </c>
      <c r="D24" s="23"/>
      <c r="E24" s="23"/>
      <c r="F24" s="23"/>
      <c r="G24" s="23"/>
      <c r="H24" s="23"/>
      <c r="J24" s="19" t="s">
        <v>18</v>
      </c>
      <c r="K24" s="19" t="s">
        <v>30</v>
      </c>
    </row>
    <row r="25" spans="1:11" ht="20" customHeight="1" x14ac:dyDescent="0.2">
      <c r="A25" s="24" t="s">
        <v>31</v>
      </c>
      <c r="B25" s="23"/>
      <c r="C25" s="22" t="s">
        <v>32</v>
      </c>
      <c r="D25" s="23"/>
      <c r="E25" s="23"/>
      <c r="F25" s="23"/>
      <c r="G25" s="23"/>
      <c r="H25" s="23"/>
      <c r="J25" s="20" t="s">
        <v>23</v>
      </c>
      <c r="K25" s="21">
        <f>Scenario_No_NTAP!B8</f>
        <v>-15000</v>
      </c>
    </row>
    <row r="26" spans="1:11" ht="20" customHeight="1" x14ac:dyDescent="0.2">
      <c r="A26" s="24" t="s">
        <v>33</v>
      </c>
      <c r="B26" s="23"/>
      <c r="C26" s="22" t="s">
        <v>34</v>
      </c>
      <c r="D26" s="23"/>
      <c r="E26" s="23"/>
      <c r="F26" s="23"/>
      <c r="G26" s="23"/>
      <c r="H26" s="23"/>
      <c r="J26" s="20" t="s">
        <v>25</v>
      </c>
      <c r="K26" s="21">
        <f>Scenario_NTAP!B9</f>
        <v>-5250</v>
      </c>
    </row>
    <row r="27" spans="1:11" ht="20" customHeight="1" x14ac:dyDescent="0.2">
      <c r="A27" s="24" t="s">
        <v>35</v>
      </c>
      <c r="B27" s="23"/>
      <c r="C27" s="22" t="s">
        <v>36</v>
      </c>
      <c r="D27" s="23"/>
      <c r="E27" s="23"/>
      <c r="F27" s="23"/>
      <c r="G27" s="23"/>
      <c r="H27" s="23"/>
      <c r="J27" s="20" t="s">
        <v>26</v>
      </c>
      <c r="K27" s="21">
        <f>Scenario_Post_DRG!B8</f>
        <v>5000</v>
      </c>
    </row>
    <row r="28" spans="1:11" ht="20" customHeight="1" x14ac:dyDescent="0.2">
      <c r="A28" s="24" t="s">
        <v>37</v>
      </c>
      <c r="B28" s="23"/>
      <c r="C28" s="22" t="s">
        <v>38</v>
      </c>
      <c r="D28" s="23"/>
      <c r="E28" s="23"/>
      <c r="F28" s="23"/>
      <c r="G28" s="23"/>
      <c r="H28" s="23"/>
    </row>
    <row r="29" spans="1:11" ht="20" customHeight="1" x14ac:dyDescent="0.2">
      <c r="A29" s="24" t="s">
        <v>39</v>
      </c>
      <c r="B29" s="23"/>
      <c r="C29" s="22" t="s">
        <v>40</v>
      </c>
      <c r="D29" s="23"/>
      <c r="E29" s="23"/>
      <c r="F29" s="23"/>
      <c r="G29" s="23"/>
      <c r="H29" s="23"/>
    </row>
    <row r="30" spans="1:11" ht="20" customHeight="1" x14ac:dyDescent="0.2">
      <c r="A30" s="24" t="s">
        <v>41</v>
      </c>
      <c r="B30" s="23"/>
      <c r="C30" s="22" t="s">
        <v>42</v>
      </c>
      <c r="D30" s="23"/>
      <c r="E30" s="23"/>
      <c r="F30" s="23"/>
      <c r="G30" s="23"/>
      <c r="H30" s="23"/>
    </row>
    <row r="31" spans="1:11" ht="20" customHeight="1" x14ac:dyDescent="0.2">
      <c r="A31" s="24" t="s">
        <v>43</v>
      </c>
      <c r="B31" s="23"/>
      <c r="C31" s="22" t="s">
        <v>44</v>
      </c>
      <c r="D31" s="23"/>
      <c r="E31" s="23"/>
      <c r="F31" s="23"/>
      <c r="G31" s="23"/>
      <c r="H31" s="23"/>
    </row>
    <row r="32" spans="1:11" ht="20" customHeight="1" x14ac:dyDescent="0.2">
      <c r="A32" s="24" t="s">
        <v>45</v>
      </c>
      <c r="B32" s="23"/>
      <c r="C32" s="22" t="s">
        <v>46</v>
      </c>
      <c r="D32" s="23"/>
      <c r="E32" s="23"/>
      <c r="F32" s="23"/>
      <c r="G32" s="23"/>
      <c r="H32" s="23"/>
    </row>
    <row r="33" ht="20" customHeight="1" x14ac:dyDescent="0.2"/>
  </sheetData>
  <mergeCells count="42">
    <mergeCell ref="J1:L1"/>
    <mergeCell ref="C24:H24"/>
    <mergeCell ref="A29:B29"/>
    <mergeCell ref="A28:B28"/>
    <mergeCell ref="A6:B7"/>
    <mergeCell ref="C26:H26"/>
    <mergeCell ref="C29:H29"/>
    <mergeCell ref="C32:H32"/>
    <mergeCell ref="C6:D7"/>
    <mergeCell ref="C28:H28"/>
    <mergeCell ref="A2:H2"/>
    <mergeCell ref="A5:B5"/>
    <mergeCell ref="G5:H5"/>
    <mergeCell ref="A32:B32"/>
    <mergeCell ref="E11:H16"/>
    <mergeCell ref="A23:H23"/>
    <mergeCell ref="A8:B8"/>
    <mergeCell ref="E10:H10"/>
    <mergeCell ref="C30:H30"/>
    <mergeCell ref="C8:D8"/>
    <mergeCell ref="A18:D18"/>
    <mergeCell ref="A31:B31"/>
    <mergeCell ref="C5:D5"/>
    <mergeCell ref="C31:H31"/>
    <mergeCell ref="E5:F5"/>
    <mergeCell ref="A11:D16"/>
    <mergeCell ref="A1:H1"/>
    <mergeCell ref="G8:H8"/>
    <mergeCell ref="A10:D10"/>
    <mergeCell ref="E8:F8"/>
    <mergeCell ref="E19:H22"/>
    <mergeCell ref="E18:H18"/>
    <mergeCell ref="A25:B25"/>
    <mergeCell ref="C27:H27"/>
    <mergeCell ref="A27:B27"/>
    <mergeCell ref="A26:B26"/>
    <mergeCell ref="A3:H3"/>
    <mergeCell ref="C25:H25"/>
    <mergeCell ref="A24:B24"/>
    <mergeCell ref="A30:B30"/>
    <mergeCell ref="E6:F7"/>
    <mergeCell ref="G6:H7"/>
  </mergeCells>
  <hyperlinks>
    <hyperlink ref="A24" location="Inputs!A1" display="[Inputs]" xr:uid="{00000000-0004-0000-0000-000000000000}"/>
    <hyperlink ref="A25" location="Episode_Cost_Breakdown!A1" display="[Episode_Cost_Breakdown]" xr:uid="{00000000-0004-0000-0000-000001000000}"/>
    <hyperlink ref="A26" location="Scenario_No_NTAP!A1" display="[Scenario_No_NTAP]" xr:uid="{00000000-0004-0000-0000-000002000000}"/>
    <hyperlink ref="A27" location="Scenario_NTAP!A1" display="[Scenario_NTAP]" xr:uid="{00000000-0004-0000-0000-000003000000}"/>
    <hyperlink ref="A28" location="Episode_Total_Care!A1" display="[Episode_Total_Care]" xr:uid="{00000000-0004-0000-0000-000004000000}"/>
    <hyperlink ref="A29" location="Sensitivity!A1" display="[Sensitivity]" xr:uid="{00000000-0004-0000-0000-000005000000}"/>
    <hyperlink ref="A30" location="Price_Ladder!A1" display="[Price_Ladder]" xr:uid="{00000000-0004-0000-0000-000006000000}"/>
    <hyperlink ref="A31" location="DRG_Definitions!A1" display="[DRG_Definitions]" xr:uid="{00000000-0004-0000-0000-000007000000}"/>
    <hyperlink ref="A32" location="Sources!A1" display="[Sources]" xr:uid="{00000000-0004-0000-0000-000008000000}"/>
  </hyperlink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selection sqref="A1:D1"/>
    </sheetView>
  </sheetViews>
  <sheetFormatPr baseColWidth="10" defaultColWidth="8.83203125" defaultRowHeight="15" x14ac:dyDescent="0.2"/>
  <cols>
    <col min="1" max="1" width="42" customWidth="1"/>
    <col min="2" max="2" width="16" customWidth="1"/>
    <col min="3" max="3" width="60" customWidth="1"/>
  </cols>
  <sheetData>
    <row r="1" spans="1:4" ht="19" customHeight="1" x14ac:dyDescent="0.25">
      <c r="A1" s="41" t="s">
        <v>47</v>
      </c>
      <c r="B1" s="23"/>
      <c r="C1" s="23"/>
      <c r="D1" s="23"/>
    </row>
    <row r="3" spans="1:4" x14ac:dyDescent="0.2">
      <c r="A3" s="1" t="s">
        <v>48</v>
      </c>
      <c r="B3" s="1" t="s">
        <v>49</v>
      </c>
      <c r="C3" s="1" t="s">
        <v>50</v>
      </c>
    </row>
    <row r="4" spans="1:4" x14ac:dyDescent="0.2">
      <c r="A4" t="s">
        <v>51</v>
      </c>
      <c r="B4" s="2">
        <v>25000</v>
      </c>
      <c r="C4" t="s">
        <v>52</v>
      </c>
    </row>
    <row r="5" spans="1:4" x14ac:dyDescent="0.2">
      <c r="A5" t="s">
        <v>53</v>
      </c>
      <c r="B5" s="2">
        <v>35000</v>
      </c>
      <c r="C5" t="s">
        <v>52</v>
      </c>
    </row>
    <row r="6" spans="1:4" x14ac:dyDescent="0.2">
      <c r="A6" t="s">
        <v>54</v>
      </c>
      <c r="B6" s="2">
        <v>50000</v>
      </c>
      <c r="C6" t="s">
        <v>52</v>
      </c>
    </row>
    <row r="7" spans="1:4" x14ac:dyDescent="0.2">
      <c r="A7" t="s">
        <v>55</v>
      </c>
      <c r="B7" s="2">
        <v>30000</v>
      </c>
      <c r="C7" t="s">
        <v>56</v>
      </c>
    </row>
    <row r="8" spans="1:4" x14ac:dyDescent="0.2">
      <c r="A8" t="s">
        <v>57</v>
      </c>
      <c r="B8" s="2">
        <v>50000</v>
      </c>
      <c r="C8" t="s">
        <v>58</v>
      </c>
    </row>
    <row r="9" spans="1:4" x14ac:dyDescent="0.2">
      <c r="A9" t="s">
        <v>59</v>
      </c>
      <c r="B9" s="2">
        <v>35000</v>
      </c>
      <c r="C9" t="s">
        <v>52</v>
      </c>
    </row>
    <row r="10" spans="1:4" x14ac:dyDescent="0.2">
      <c r="A10" t="s">
        <v>60</v>
      </c>
      <c r="B10" s="2">
        <v>50000</v>
      </c>
      <c r="C10" t="s">
        <v>52</v>
      </c>
    </row>
    <row r="11" spans="1:4" x14ac:dyDescent="0.2">
      <c r="A11" t="s">
        <v>61</v>
      </c>
      <c r="B11" s="2">
        <v>25000</v>
      </c>
      <c r="C11" t="s">
        <v>52</v>
      </c>
    </row>
    <row r="12" spans="1:4" x14ac:dyDescent="0.2">
      <c r="A12" t="s">
        <v>62</v>
      </c>
      <c r="B12" s="2">
        <v>35000</v>
      </c>
      <c r="C12" t="s">
        <v>52</v>
      </c>
    </row>
    <row r="13" spans="1:4" x14ac:dyDescent="0.2">
      <c r="A13" t="s">
        <v>63</v>
      </c>
      <c r="B13" s="2">
        <f>Episode_Cost_Breakdown!E11</f>
        <v>20000</v>
      </c>
      <c r="C13" t="s">
        <v>64</v>
      </c>
    </row>
    <row r="14" spans="1:4" x14ac:dyDescent="0.2">
      <c r="A14" t="s">
        <v>65</v>
      </c>
      <c r="B14" s="2">
        <v>7</v>
      </c>
      <c r="C14" t="s">
        <v>66</v>
      </c>
    </row>
    <row r="15" spans="1:4" x14ac:dyDescent="0.2">
      <c r="A15" t="s">
        <v>67</v>
      </c>
      <c r="B15" s="2">
        <v>3</v>
      </c>
      <c r="C15" t="s">
        <v>68</v>
      </c>
    </row>
    <row r="16" spans="1:4" x14ac:dyDescent="0.2">
      <c r="A16" t="s">
        <v>5</v>
      </c>
      <c r="B16" s="3">
        <v>0.65</v>
      </c>
      <c r="C16" t="s">
        <v>69</v>
      </c>
    </row>
    <row r="17" spans="1:3" x14ac:dyDescent="0.2">
      <c r="A17" t="s">
        <v>70</v>
      </c>
      <c r="B17" s="2">
        <v>50000</v>
      </c>
      <c r="C17" t="s">
        <v>71</v>
      </c>
    </row>
  </sheetData>
  <mergeCells count="1">
    <mergeCell ref="A1:D1"/>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workbookViewId="0">
      <selection activeCell="A7" sqref="A7"/>
    </sheetView>
  </sheetViews>
  <sheetFormatPr baseColWidth="10" defaultColWidth="8.83203125" defaultRowHeight="15" x14ac:dyDescent="0.2"/>
  <cols>
    <col min="1" max="1" width="86.6640625" customWidth="1"/>
    <col min="2" max="2" width="75.83203125" customWidth="1"/>
    <col min="3" max="3" width="74.6640625" customWidth="1"/>
    <col min="4" max="4" width="24" customWidth="1"/>
    <col min="5" max="5" width="14" customWidth="1"/>
  </cols>
  <sheetData>
    <row r="1" spans="1:5" ht="17" customHeight="1" x14ac:dyDescent="0.2">
      <c r="A1" s="42" t="s">
        <v>72</v>
      </c>
      <c r="B1" s="23"/>
      <c r="C1" s="23"/>
      <c r="D1" s="23"/>
      <c r="E1" s="23"/>
    </row>
    <row r="3" spans="1:5" x14ac:dyDescent="0.2">
      <c r="A3" s="1" t="s">
        <v>73</v>
      </c>
      <c r="B3" s="1" t="s">
        <v>74</v>
      </c>
      <c r="C3" s="1" t="s">
        <v>75</v>
      </c>
      <c r="D3" s="1" t="s">
        <v>76</v>
      </c>
      <c r="E3" s="1" t="s">
        <v>77</v>
      </c>
    </row>
    <row r="4" spans="1:5" x14ac:dyDescent="0.2">
      <c r="A4" t="s">
        <v>78</v>
      </c>
      <c r="B4" t="s">
        <v>79</v>
      </c>
      <c r="C4" t="s">
        <v>80</v>
      </c>
      <c r="D4" t="s">
        <v>81</v>
      </c>
      <c r="E4" s="5">
        <v>12000</v>
      </c>
    </row>
    <row r="5" spans="1:5" x14ac:dyDescent="0.2">
      <c r="A5" t="s">
        <v>82</v>
      </c>
      <c r="B5" t="s">
        <v>83</v>
      </c>
      <c r="C5" t="s">
        <v>84</v>
      </c>
      <c r="D5" t="s">
        <v>85</v>
      </c>
      <c r="E5" s="5">
        <v>5000</v>
      </c>
    </row>
    <row r="6" spans="1:5" x14ac:dyDescent="0.2">
      <c r="A6" t="s">
        <v>86</v>
      </c>
      <c r="B6" t="s">
        <v>87</v>
      </c>
      <c r="C6" t="s">
        <v>88</v>
      </c>
      <c r="D6" t="s">
        <v>89</v>
      </c>
      <c r="E6" s="5">
        <v>3000</v>
      </c>
    </row>
    <row r="7" spans="1:5" x14ac:dyDescent="0.2">
      <c r="A7" t="s">
        <v>265</v>
      </c>
      <c r="B7" t="s">
        <v>91</v>
      </c>
      <c r="C7" t="s">
        <v>92</v>
      </c>
      <c r="D7" t="s">
        <v>93</v>
      </c>
      <c r="E7" s="5">
        <v>3500</v>
      </c>
    </row>
    <row r="8" spans="1:5" x14ac:dyDescent="0.2">
      <c r="A8" t="s">
        <v>94</v>
      </c>
      <c r="B8" t="s">
        <v>95</v>
      </c>
      <c r="C8" t="s">
        <v>96</v>
      </c>
      <c r="D8" t="s">
        <v>93</v>
      </c>
      <c r="E8" s="5">
        <v>14000</v>
      </c>
    </row>
    <row r="9" spans="1:5" x14ac:dyDescent="0.2">
      <c r="A9" t="s">
        <v>97</v>
      </c>
      <c r="B9" t="s">
        <v>98</v>
      </c>
      <c r="C9" t="s">
        <v>99</v>
      </c>
      <c r="D9" t="s">
        <v>100</v>
      </c>
      <c r="E9" s="5">
        <v>6000</v>
      </c>
    </row>
    <row r="10" spans="1:5" x14ac:dyDescent="0.2">
      <c r="A10" t="s">
        <v>101</v>
      </c>
      <c r="B10" t="s">
        <v>102</v>
      </c>
      <c r="C10" t="s">
        <v>103</v>
      </c>
      <c r="D10" t="s">
        <v>100</v>
      </c>
      <c r="E10" s="5">
        <v>12000</v>
      </c>
    </row>
    <row r="11" spans="1:5" x14ac:dyDescent="0.2">
      <c r="D11" t="s">
        <v>104</v>
      </c>
      <c r="E11" s="5">
        <f>SUM(E4:E6)</f>
        <v>20000</v>
      </c>
    </row>
    <row r="12" spans="1:5" x14ac:dyDescent="0.2">
      <c r="D12" t="s">
        <v>105</v>
      </c>
      <c r="E12" s="5">
        <f>SUM(E7:E10)</f>
        <v>35500</v>
      </c>
    </row>
    <row r="13" spans="1:5" x14ac:dyDescent="0.2">
      <c r="D13" t="s">
        <v>106</v>
      </c>
      <c r="E13" s="5">
        <f>SUM(E4:E10)</f>
        <v>55500</v>
      </c>
    </row>
    <row r="14" spans="1:5" ht="48" customHeight="1" x14ac:dyDescent="0.2">
      <c r="A14" s="6" t="s">
        <v>107</v>
      </c>
      <c r="B14" s="7" t="s">
        <v>108</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topLeftCell="A4" workbookViewId="0">
      <selection sqref="A1:D1"/>
    </sheetView>
  </sheetViews>
  <sheetFormatPr baseColWidth="10" defaultColWidth="8.83203125" defaultRowHeight="15" x14ac:dyDescent="0.2"/>
  <cols>
    <col min="1" max="1" width="35" customWidth="1"/>
    <col min="2" max="2" width="70" customWidth="1"/>
  </cols>
  <sheetData>
    <row r="1" spans="1:2" ht="17" customHeight="1" x14ac:dyDescent="0.2">
      <c r="A1" s="4" t="s">
        <v>109</v>
      </c>
    </row>
    <row r="3" spans="1:2" x14ac:dyDescent="0.2">
      <c r="A3" s="1" t="s">
        <v>110</v>
      </c>
      <c r="B3" s="1" t="s">
        <v>49</v>
      </c>
    </row>
    <row r="4" spans="1:2" x14ac:dyDescent="0.2">
      <c r="A4" t="s">
        <v>111</v>
      </c>
      <c r="B4" s="8">
        <f>Inputs!B7</f>
        <v>30000</v>
      </c>
    </row>
    <row r="5" spans="1:2" x14ac:dyDescent="0.2">
      <c r="A5" t="s">
        <v>112</v>
      </c>
      <c r="B5" s="8">
        <f>Inputs!B4</f>
        <v>25000</v>
      </c>
    </row>
    <row r="6" spans="1:2" x14ac:dyDescent="0.2">
      <c r="A6" t="s">
        <v>113</v>
      </c>
      <c r="B6" s="8">
        <f>Inputs!B13</f>
        <v>20000</v>
      </c>
    </row>
    <row r="7" spans="1:2" x14ac:dyDescent="0.2">
      <c r="A7" t="s">
        <v>114</v>
      </c>
      <c r="B7" s="8">
        <f>B5+B6</f>
        <v>45000</v>
      </c>
    </row>
    <row r="8" spans="1:2" x14ac:dyDescent="0.2">
      <c r="A8" t="s">
        <v>115</v>
      </c>
      <c r="B8" s="8">
        <f>B4-B7</f>
        <v>-15000</v>
      </c>
    </row>
    <row r="9" spans="1:2" x14ac:dyDescent="0.2">
      <c r="A9" s="6" t="s">
        <v>116</v>
      </c>
      <c r="B9" t="s">
        <v>117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heetViews>
  <sheetFormatPr baseColWidth="10" defaultColWidth="8.83203125" defaultRowHeight="15" x14ac:dyDescent="0.2"/>
  <cols>
    <col min="1" max="1" width="30" customWidth="1"/>
    <col min="2" max="3" width="38" customWidth="1"/>
  </cols>
  <sheetData>
    <row r="1" spans="1:3" ht="17" customHeight="1" x14ac:dyDescent="0.2">
      <c r="A1" s="4" t="s">
        <v>118</v>
      </c>
    </row>
    <row r="3" spans="1:3" x14ac:dyDescent="0.2">
      <c r="A3" s="1" t="s">
        <v>110</v>
      </c>
      <c r="B3" s="1" t="s">
        <v>119</v>
      </c>
      <c r="C3" s="1" t="s">
        <v>120</v>
      </c>
    </row>
    <row r="4" spans="1:3" x14ac:dyDescent="0.2">
      <c r="A4" t="s">
        <v>111</v>
      </c>
      <c r="B4" s="8">
        <f>Inputs!B7</f>
        <v>30000</v>
      </c>
      <c r="C4" s="8">
        <f>Inputs!B7</f>
        <v>30000</v>
      </c>
    </row>
    <row r="5" spans="1:3" x14ac:dyDescent="0.2">
      <c r="A5" t="s">
        <v>112</v>
      </c>
      <c r="B5" s="8">
        <f>Inputs!B4</f>
        <v>25000</v>
      </c>
      <c r="C5" s="8">
        <f>Inputs!B4</f>
        <v>25000</v>
      </c>
    </row>
    <row r="6" spans="1:3" x14ac:dyDescent="0.2">
      <c r="A6" t="s">
        <v>113</v>
      </c>
      <c r="B6" s="8">
        <f>Inputs!B13</f>
        <v>20000</v>
      </c>
      <c r="C6" s="8">
        <f>Inputs!B13</f>
        <v>20000</v>
      </c>
    </row>
    <row r="7" spans="1:3" x14ac:dyDescent="0.2">
      <c r="A7" t="s">
        <v>114</v>
      </c>
      <c r="B7" s="8">
        <f>B5+B6</f>
        <v>45000</v>
      </c>
      <c r="C7" s="8">
        <f>C5+C6</f>
        <v>45000</v>
      </c>
    </row>
    <row r="8" spans="1:3" x14ac:dyDescent="0.2">
      <c r="A8" t="s">
        <v>121</v>
      </c>
      <c r="B8" s="8">
        <f>MIN(B5*Inputs!B16,MAX(B7-B4,0)*Inputs!B16)</f>
        <v>9750</v>
      </c>
      <c r="C8" s="8">
        <f>MIN(C5*Inputs!B16,MAX(C7-C4,0))</f>
        <v>15000</v>
      </c>
    </row>
    <row r="9" spans="1:3" x14ac:dyDescent="0.2">
      <c r="A9" t="s">
        <v>122</v>
      </c>
      <c r="B9" s="8">
        <f>B4+B8-B7</f>
        <v>-5250</v>
      </c>
      <c r="C9" s="8">
        <f>C4+C8-C7</f>
        <v>0</v>
      </c>
    </row>
    <row r="11" spans="1:3" x14ac:dyDescent="0.2">
      <c r="A11" s="6" t="s">
        <v>107</v>
      </c>
      <c r="B11" t="s">
        <v>123</v>
      </c>
      <c r="C11" t="s">
        <v>124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baseColWidth="10" defaultColWidth="8.83203125" defaultRowHeight="15" x14ac:dyDescent="0.2"/>
  <cols>
    <col min="1" max="1" width="35" customWidth="1"/>
    <col min="2" max="2" width="32" customWidth="1"/>
  </cols>
  <sheetData>
    <row r="1" spans="1:2" ht="17" customHeight="1" x14ac:dyDescent="0.2">
      <c r="A1" s="4" t="s">
        <v>125</v>
      </c>
    </row>
    <row r="3" spans="1:2" x14ac:dyDescent="0.2">
      <c r="A3" s="1" t="s">
        <v>110</v>
      </c>
      <c r="B3" s="1" t="s">
        <v>49</v>
      </c>
    </row>
    <row r="4" spans="1:2" x14ac:dyDescent="0.2">
      <c r="A4" t="s">
        <v>111</v>
      </c>
      <c r="B4" s="8">
        <f>Inputs!B17</f>
        <v>50000</v>
      </c>
    </row>
    <row r="5" spans="1:2" x14ac:dyDescent="0.2">
      <c r="A5" t="s">
        <v>112</v>
      </c>
      <c r="B5" s="8">
        <f>Inputs!B4</f>
        <v>25000</v>
      </c>
    </row>
    <row r="6" spans="1:2" x14ac:dyDescent="0.2">
      <c r="A6" t="s">
        <v>113</v>
      </c>
      <c r="B6" s="8">
        <f>Inputs!B13</f>
        <v>20000</v>
      </c>
    </row>
    <row r="7" spans="1:2" x14ac:dyDescent="0.2">
      <c r="A7" t="s">
        <v>114</v>
      </c>
      <c r="B7" s="8">
        <f>B5+B6</f>
        <v>45000</v>
      </c>
    </row>
    <row r="8" spans="1:2" x14ac:dyDescent="0.2">
      <c r="A8" t="s">
        <v>126</v>
      </c>
      <c r="B8" s="8">
        <f>B4-B7</f>
        <v>5000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7"/>
  <sheetViews>
    <sheetView workbookViewId="0">
      <selection sqref="A1:D1"/>
    </sheetView>
  </sheetViews>
  <sheetFormatPr baseColWidth="10" defaultColWidth="8.83203125" defaultRowHeight="15" x14ac:dyDescent="0.2"/>
  <cols>
    <col min="1" max="1" width="46" customWidth="1"/>
    <col min="2" max="2" width="24" customWidth="1"/>
    <col min="3" max="3" width="30" customWidth="1"/>
    <col min="4" max="4" width="14" customWidth="1"/>
  </cols>
  <sheetData>
    <row r="1" spans="1:4" ht="17" customHeight="1" x14ac:dyDescent="0.2">
      <c r="A1" s="42" t="s">
        <v>127</v>
      </c>
      <c r="B1" s="23"/>
      <c r="C1" s="23"/>
      <c r="D1" s="23"/>
    </row>
    <row r="3" spans="1:4" x14ac:dyDescent="0.2">
      <c r="A3" s="1" t="s">
        <v>128</v>
      </c>
      <c r="B3" s="1" t="s">
        <v>49</v>
      </c>
    </row>
    <row r="4" spans="1:4" x14ac:dyDescent="0.2">
      <c r="A4" t="s">
        <v>129</v>
      </c>
      <c r="B4" s="3">
        <v>0.2</v>
      </c>
    </row>
    <row r="5" spans="1:4" x14ac:dyDescent="0.2">
      <c r="A5" t="s">
        <v>130</v>
      </c>
      <c r="B5" s="3">
        <v>0.4</v>
      </c>
    </row>
    <row r="6" spans="1:4" x14ac:dyDescent="0.2">
      <c r="A6" t="s">
        <v>131</v>
      </c>
      <c r="B6" s="3">
        <v>0.3</v>
      </c>
    </row>
    <row r="7" spans="1:4" x14ac:dyDescent="0.2">
      <c r="A7" t="s">
        <v>132</v>
      </c>
      <c r="B7" s="3">
        <v>0.5</v>
      </c>
    </row>
    <row r="9" spans="1:4" x14ac:dyDescent="0.2">
      <c r="A9" s="1" t="s">
        <v>133</v>
      </c>
      <c r="B9" s="1" t="s">
        <v>134</v>
      </c>
      <c r="C9" s="1" t="s">
        <v>135</v>
      </c>
      <c r="D9" s="1" t="s">
        <v>136</v>
      </c>
    </row>
    <row r="10" spans="1:4" x14ac:dyDescent="0.2">
      <c r="A10" t="s">
        <v>137</v>
      </c>
      <c r="B10" s="8">
        <f>Inputs!B7</f>
        <v>30000</v>
      </c>
      <c r="C10" s="8">
        <f>Inputs!B7+MIN(Inputs!B4*Inputs!B16,MAX((Inputs!B4+Inputs!B13)-Inputs!B7,0)*Inputs!B16)</f>
        <v>39750</v>
      </c>
      <c r="D10" s="8">
        <f t="shared" ref="D10:D15" si="0">C10-B10</f>
        <v>9750</v>
      </c>
    </row>
    <row r="11" spans="1:4" x14ac:dyDescent="0.2">
      <c r="A11" t="s">
        <v>90</v>
      </c>
      <c r="B11" s="8">
        <f>Episode_Cost_Breakdown!E7</f>
        <v>3500</v>
      </c>
      <c r="C11" s="8">
        <f>ROUND(B11*(1-$B$4),0)</f>
        <v>2800</v>
      </c>
      <c r="D11" s="8">
        <f t="shared" si="0"/>
        <v>-700</v>
      </c>
    </row>
    <row r="12" spans="1:4" x14ac:dyDescent="0.2">
      <c r="A12" t="s">
        <v>138</v>
      </c>
      <c r="B12" s="8">
        <f>Episode_Cost_Breakdown!E8</f>
        <v>14000</v>
      </c>
      <c r="C12" s="8">
        <f>ROUND(B12*(1-$B$5),0)</f>
        <v>8400</v>
      </c>
      <c r="D12" s="8">
        <f t="shared" si="0"/>
        <v>-5600</v>
      </c>
    </row>
    <row r="13" spans="1:4" x14ac:dyDescent="0.2">
      <c r="A13" t="s">
        <v>139</v>
      </c>
      <c r="B13" s="8">
        <f>Episode_Cost_Breakdown!E9</f>
        <v>6000</v>
      </c>
      <c r="C13" s="8">
        <f>ROUND(B13*(1-$B$6),0)</f>
        <v>4200</v>
      </c>
      <c r="D13" s="8">
        <f t="shared" si="0"/>
        <v>-1800</v>
      </c>
    </row>
    <row r="14" spans="1:4" x14ac:dyDescent="0.2">
      <c r="A14" t="s">
        <v>140</v>
      </c>
      <c r="B14" s="8">
        <f>Episode_Cost_Breakdown!E10</f>
        <v>12000</v>
      </c>
      <c r="C14" s="8">
        <f>ROUND(B14*(1-$B$7),0)</f>
        <v>6000</v>
      </c>
      <c r="D14" s="8">
        <f t="shared" si="0"/>
        <v>-6000</v>
      </c>
    </row>
    <row r="15" spans="1:4" x14ac:dyDescent="0.2">
      <c r="A15" s="6" t="s">
        <v>141</v>
      </c>
      <c r="B15" s="9">
        <f>SUM(B10:B14)</f>
        <v>65500</v>
      </c>
      <c r="C15" s="9">
        <f>SUM(C10:C14)</f>
        <v>61150</v>
      </c>
      <c r="D15" s="9">
        <f t="shared" si="0"/>
        <v>-4350</v>
      </c>
    </row>
    <row r="17" spans="1:2" x14ac:dyDescent="0.2">
      <c r="A17" s="6" t="s">
        <v>116</v>
      </c>
      <c r="B17" t="s">
        <v>142</v>
      </c>
    </row>
  </sheetData>
  <mergeCells count="1">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workbookViewId="0"/>
  </sheetViews>
  <sheetFormatPr baseColWidth="10" defaultColWidth="8.83203125" defaultRowHeight="15" x14ac:dyDescent="0.2"/>
  <cols>
    <col min="1" max="1" width="26" customWidth="1"/>
    <col min="2" max="4" width="16" customWidth="1"/>
  </cols>
  <sheetData>
    <row r="1" spans="1:4" ht="17" customHeight="1" x14ac:dyDescent="0.2">
      <c r="A1" s="4" t="s">
        <v>143</v>
      </c>
    </row>
    <row r="3" spans="1:4" x14ac:dyDescent="0.2">
      <c r="A3" s="1" t="s">
        <v>144</v>
      </c>
      <c r="B3" s="10">
        <v>30000</v>
      </c>
      <c r="C3" s="10">
        <v>40000</v>
      </c>
      <c r="D3" s="10">
        <v>50000</v>
      </c>
    </row>
    <row r="4" spans="1:4" x14ac:dyDescent="0.2">
      <c r="A4" s="11">
        <v>25000</v>
      </c>
      <c r="B4" s="8">
        <f>B3-(A4+Inputs!B13)</f>
        <v>-15000</v>
      </c>
      <c r="C4" s="8">
        <f>C3-(A4+Inputs!B13)</f>
        <v>-5000</v>
      </c>
      <c r="D4" s="8">
        <f>D3-(A4+Inputs!B13)</f>
        <v>5000</v>
      </c>
    </row>
    <row r="5" spans="1:4" x14ac:dyDescent="0.2">
      <c r="A5" s="11">
        <v>35000</v>
      </c>
      <c r="B5" s="8">
        <f>B3-(A5+Inputs!B13)</f>
        <v>-25000</v>
      </c>
      <c r="C5" s="8">
        <f>C3-(A5+Inputs!B13)</f>
        <v>-15000</v>
      </c>
      <c r="D5" s="8">
        <f>D3-(A5+Inputs!B13)</f>
        <v>-5000</v>
      </c>
    </row>
    <row r="6" spans="1:4" x14ac:dyDescent="0.2">
      <c r="A6" s="11">
        <v>50000</v>
      </c>
      <c r="B6" s="8">
        <f>B3-(A6+Inputs!B13)</f>
        <v>-40000</v>
      </c>
      <c r="C6" s="8">
        <f>C3-(A6+Inputs!B13)</f>
        <v>-30000</v>
      </c>
      <c r="D6" s="8">
        <f>D3-(A6+Inputs!B13)</f>
        <v>-20000</v>
      </c>
    </row>
    <row r="8" spans="1:4" ht="17" customHeight="1" x14ac:dyDescent="0.2">
      <c r="A8" s="4" t="s">
        <v>145</v>
      </c>
    </row>
    <row r="10" spans="1:4" x14ac:dyDescent="0.2">
      <c r="A10" s="1" t="s">
        <v>144</v>
      </c>
      <c r="B10" s="10">
        <v>30000</v>
      </c>
      <c r="C10" s="10">
        <v>40000</v>
      </c>
      <c r="D10" s="10">
        <v>50000</v>
      </c>
    </row>
    <row r="11" spans="1:4" x14ac:dyDescent="0.2">
      <c r="A11" s="11">
        <v>25000</v>
      </c>
      <c r="B11" s="8">
        <f>B10+MIN(A11*Inputs!B16,MAX((A11+Inputs!B13)-B10,0)*Inputs!B16)-(A11+Inputs!B13)</f>
        <v>-5250</v>
      </c>
      <c r="C11" s="8">
        <f>C10+MIN(A11*Inputs!B16,MAX((A11+Inputs!B13)-C10,0)*Inputs!B16)-(A11+Inputs!B13)</f>
        <v>-1750</v>
      </c>
      <c r="D11" s="8">
        <f>D10+MIN(A11*Inputs!B16,MAX((A11+Inputs!B13)-D10,0)*Inputs!B16)-(A11+Inputs!B13)</f>
        <v>5000</v>
      </c>
    </row>
    <row r="12" spans="1:4" x14ac:dyDescent="0.2">
      <c r="A12" s="11">
        <v>35000</v>
      </c>
      <c r="B12" s="8">
        <f>B10+MIN(A12*Inputs!B16,MAX((A12+Inputs!B13)-B10,0)*Inputs!B16)-(A12+Inputs!B13)</f>
        <v>-8750</v>
      </c>
      <c r="C12" s="8">
        <f>C10+MIN(A12*Inputs!B16,MAX((A12+Inputs!B13)-C10,0)*Inputs!B16)-(A12+Inputs!B13)</f>
        <v>-5250</v>
      </c>
      <c r="D12" s="8">
        <f>D10+MIN(A12*Inputs!B16,MAX((A12+Inputs!B13)-D10,0)*Inputs!B16)-(A12+Inputs!B13)</f>
        <v>-1750</v>
      </c>
    </row>
    <row r="13" spans="1:4" x14ac:dyDescent="0.2">
      <c r="A13" s="11">
        <v>50000</v>
      </c>
      <c r="B13" s="8">
        <f>B10+MIN(A13*Inputs!B16,MAX((A13+Inputs!B13)-B10,0)*Inputs!B16)-(A13+Inputs!B13)</f>
        <v>-14000</v>
      </c>
      <c r="C13" s="8">
        <f>C10+MIN(A13*Inputs!B16,MAX((A13+Inputs!B13)-C10,0)*Inputs!B16)-(A13+Inputs!B13)</f>
        <v>-10500</v>
      </c>
      <c r="D13" s="8">
        <f>D10+MIN(A13*Inputs!B16,MAX((A13+Inputs!B13)-D10,0)*Inputs!B16)-(A13+Inputs!B13)</f>
        <v>-7000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
  <sheetViews>
    <sheetView tabSelected="1" workbookViewId="0">
      <selection sqref="A1:G1"/>
    </sheetView>
  </sheetViews>
  <sheetFormatPr baseColWidth="10" defaultColWidth="8.83203125" defaultRowHeight="15" x14ac:dyDescent="0.2"/>
  <cols>
    <col min="1" max="1" width="10" customWidth="1"/>
    <col min="2" max="6" width="11" customWidth="1"/>
    <col min="7" max="7" width="10" customWidth="1"/>
  </cols>
  <sheetData>
    <row r="1" spans="1:7" ht="17" customHeight="1" x14ac:dyDescent="0.2">
      <c r="A1" s="42" t="s">
        <v>146</v>
      </c>
      <c r="B1" s="23"/>
      <c r="C1" s="23"/>
      <c r="D1" s="23"/>
      <c r="E1" s="23"/>
      <c r="F1" s="23"/>
      <c r="G1" s="23"/>
    </row>
    <row r="3" spans="1:7" x14ac:dyDescent="0.2">
      <c r="A3" s="1" t="s">
        <v>147</v>
      </c>
      <c r="B3" s="1" t="s">
        <v>148</v>
      </c>
      <c r="C3" s="1" t="s">
        <v>149</v>
      </c>
      <c r="D3" s="1" t="s">
        <v>150</v>
      </c>
      <c r="E3" s="1" t="s">
        <v>151</v>
      </c>
      <c r="F3" s="1" t="s">
        <v>152</v>
      </c>
      <c r="G3" s="1" t="s">
        <v>153</v>
      </c>
    </row>
    <row r="4" spans="1:7" x14ac:dyDescent="0.2">
      <c r="A4">
        <v>2020</v>
      </c>
      <c r="B4" s="12">
        <v>5.6170999999999998</v>
      </c>
      <c r="C4" s="12">
        <v>4.0164999999999997</v>
      </c>
      <c r="D4" s="12">
        <v>2.7934999999999999</v>
      </c>
      <c r="E4" s="12">
        <v>2.0112000000000001</v>
      </c>
      <c r="F4" s="12">
        <v>1.6808000000000001</v>
      </c>
      <c r="G4" t="s">
        <v>154</v>
      </c>
    </row>
    <row r="5" spans="1:7" x14ac:dyDescent="0.2">
      <c r="A5">
        <v>2021</v>
      </c>
      <c r="B5" s="12">
        <v>5.6623000000000001</v>
      </c>
      <c r="C5" s="12">
        <v>3.9325000000000001</v>
      </c>
      <c r="D5" s="12">
        <v>2.8881999999999999</v>
      </c>
      <c r="E5" s="12">
        <v>1.9872000000000001</v>
      </c>
      <c r="F5" s="12">
        <v>1.7099</v>
      </c>
      <c r="G5" t="s">
        <v>155</v>
      </c>
    </row>
    <row r="6" spans="1:7" x14ac:dyDescent="0.2">
      <c r="A6">
        <v>2022</v>
      </c>
      <c r="B6" s="12">
        <v>5.6718999999999999</v>
      </c>
      <c r="C6" s="12">
        <v>3.9390000000000001</v>
      </c>
      <c r="D6" s="12">
        <v>2.8912</v>
      </c>
      <c r="E6" s="12">
        <v>1.9883</v>
      </c>
      <c r="F6" s="12">
        <v>1.7097</v>
      </c>
      <c r="G6" t="s">
        <v>156</v>
      </c>
    </row>
    <row r="7" spans="1:7" x14ac:dyDescent="0.2">
      <c r="A7">
        <v>2023</v>
      </c>
      <c r="B7" s="12">
        <v>5.7313999999999998</v>
      </c>
      <c r="C7" s="12">
        <v>3.9487999999999999</v>
      </c>
      <c r="D7" s="12">
        <v>2.9325999999999999</v>
      </c>
      <c r="E7" s="12">
        <v>1.9172</v>
      </c>
      <c r="F7" s="12">
        <v>1.581</v>
      </c>
      <c r="G7" t="s">
        <v>157</v>
      </c>
    </row>
    <row r="8" spans="1:7" x14ac:dyDescent="0.2">
      <c r="A8">
        <v>2024</v>
      </c>
      <c r="B8" s="12">
        <v>5.6688000000000001</v>
      </c>
      <c r="C8" s="12">
        <v>3.7888000000000002</v>
      </c>
      <c r="D8" s="12">
        <v>2.8028</v>
      </c>
      <c r="E8" s="12">
        <v>1.8716999999999999</v>
      </c>
      <c r="F8" s="12">
        <v>1.4867999999999999</v>
      </c>
      <c r="G8" t="s">
        <v>158</v>
      </c>
    </row>
    <row r="9" spans="1:7" x14ac:dyDescent="0.2">
      <c r="A9">
        <v>2025</v>
      </c>
      <c r="B9" s="12">
        <v>5.7046999999999999</v>
      </c>
      <c r="C9" s="12">
        <v>3.8014000000000001</v>
      </c>
      <c r="D9" s="12">
        <v>2.7031999999999998</v>
      </c>
      <c r="E9" s="12">
        <v>1.7807999999999999</v>
      </c>
      <c r="F9" s="12">
        <v>1.4047000000000001</v>
      </c>
      <c r="G9" t="s">
        <v>159</v>
      </c>
    </row>
    <row r="10" spans="1:7" x14ac:dyDescent="0.2">
      <c r="A10">
        <v>2026</v>
      </c>
      <c r="B10" s="12">
        <v>5.7302999999999997</v>
      </c>
      <c r="C10" s="12">
        <v>3.9119000000000002</v>
      </c>
      <c r="D10" s="12">
        <v>2.7570999999999999</v>
      </c>
      <c r="E10" s="12">
        <v>1.7572000000000001</v>
      </c>
      <c r="F10" s="12">
        <v>1.4037999999999999</v>
      </c>
      <c r="G10" t="s">
        <v>160</v>
      </c>
    </row>
  </sheetData>
  <mergeCells count="1">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election sqref="A1:G1"/>
    </sheetView>
  </sheetViews>
  <sheetFormatPr baseColWidth="10" defaultColWidth="8.83203125" defaultRowHeight="15" x14ac:dyDescent="0.2"/>
  <cols>
    <col min="1" max="1" width="10" customWidth="1"/>
    <col min="2" max="6" width="11" customWidth="1"/>
    <col min="7" max="7" width="10" customWidth="1"/>
  </cols>
  <sheetData>
    <row r="1" spans="1:7" ht="17" customHeight="1" x14ac:dyDescent="0.2">
      <c r="A1" s="42" t="s">
        <v>161</v>
      </c>
      <c r="B1" s="23"/>
      <c r="C1" s="23"/>
      <c r="D1" s="23"/>
      <c r="E1" s="23"/>
      <c r="F1" s="23"/>
      <c r="G1" s="23"/>
    </row>
    <row r="3" spans="1:7" x14ac:dyDescent="0.2">
      <c r="A3" s="1" t="s">
        <v>147</v>
      </c>
      <c r="B3" s="1" t="s">
        <v>148</v>
      </c>
      <c r="C3" s="1" t="s">
        <v>149</v>
      </c>
      <c r="D3" s="1" t="s">
        <v>150</v>
      </c>
      <c r="E3" s="1" t="s">
        <v>151</v>
      </c>
      <c r="F3" s="1" t="s">
        <v>152</v>
      </c>
      <c r="G3" s="1" t="s">
        <v>153</v>
      </c>
    </row>
    <row r="4" spans="1:7" x14ac:dyDescent="0.2">
      <c r="A4">
        <v>2021</v>
      </c>
      <c r="B4" s="13">
        <v>8.0468569190508266E-3</v>
      </c>
      <c r="C4" s="13">
        <v>-2.091373086020154E-2</v>
      </c>
      <c r="D4" s="13">
        <v>3.3900125290853733E-2</v>
      </c>
      <c r="E4" s="13">
        <v>-1.1933174224343699E-2</v>
      </c>
      <c r="F4" s="13">
        <v>1.7313184198000989E-2</v>
      </c>
      <c r="G4" t="s">
        <v>155</v>
      </c>
    </row>
    <row r="5" spans="1:7" x14ac:dyDescent="0.2">
      <c r="A5">
        <v>2022</v>
      </c>
      <c r="B5" s="13">
        <v>1.6954241209401479E-3</v>
      </c>
      <c r="C5" s="13">
        <v>1.6528925619834209E-3</v>
      </c>
      <c r="D5" s="13">
        <v>1.0387092306627379E-3</v>
      </c>
      <c r="E5" s="13">
        <v>5.5354267310780969E-4</v>
      </c>
      <c r="F5" s="13">
        <v>-1.1696590443888161E-4</v>
      </c>
      <c r="G5" t="s">
        <v>156</v>
      </c>
    </row>
    <row r="6" spans="1:7" x14ac:dyDescent="0.2">
      <c r="A6">
        <v>2023</v>
      </c>
      <c r="B6" s="13">
        <v>1.0490311888432521E-2</v>
      </c>
      <c r="C6" s="13">
        <v>2.4879411018023929E-3</v>
      </c>
      <c r="D6" s="13">
        <v>1.4319313779745491E-2</v>
      </c>
      <c r="E6" s="13">
        <v>-3.5759191268923129E-2</v>
      </c>
      <c r="F6" s="13">
        <v>-7.5276364274434182E-2</v>
      </c>
      <c r="G6" t="s">
        <v>157</v>
      </c>
    </row>
    <row r="7" spans="1:7" x14ac:dyDescent="0.2">
      <c r="A7">
        <v>2024</v>
      </c>
      <c r="B7" s="13">
        <v>-1.092228774819415E-2</v>
      </c>
      <c r="C7" s="13">
        <v>-4.0518638573743833E-2</v>
      </c>
      <c r="D7" s="13">
        <v>-4.4261065266316568E-2</v>
      </c>
      <c r="E7" s="13">
        <v>-2.3732526601293661E-2</v>
      </c>
      <c r="F7" s="13">
        <v>-5.9582542694497143E-2</v>
      </c>
      <c r="G7" t="s">
        <v>158</v>
      </c>
    </row>
    <row r="8" spans="1:7" x14ac:dyDescent="0.2">
      <c r="A8">
        <v>2025</v>
      </c>
      <c r="B8" s="13">
        <v>6.3329099633078201E-3</v>
      </c>
      <c r="C8" s="13">
        <v>3.3255912162162278E-3</v>
      </c>
      <c r="D8" s="13">
        <v>-3.5535892678749903E-2</v>
      </c>
      <c r="E8" s="13">
        <v>-4.8565475236416078E-2</v>
      </c>
      <c r="F8" s="13">
        <v>-5.5219262846381352E-2</v>
      </c>
      <c r="G8" t="s">
        <v>159</v>
      </c>
    </row>
    <row r="9" spans="1:7" x14ac:dyDescent="0.2">
      <c r="A9">
        <v>2026</v>
      </c>
      <c r="B9" s="13">
        <v>4.4875278279312703E-3</v>
      </c>
      <c r="C9" s="13">
        <v>2.9068238017572409E-2</v>
      </c>
      <c r="D9" s="13">
        <v>1.993933116306601E-2</v>
      </c>
      <c r="E9" s="13">
        <v>-1.325247079964054E-2</v>
      </c>
      <c r="F9" s="13">
        <v>-6.4070620061229544E-4</v>
      </c>
      <c r="G9" t="s">
        <v>160</v>
      </c>
    </row>
  </sheetData>
  <mergeCells count="1">
    <mergeCell ref="A1:G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election sqref="A1:C1"/>
    </sheetView>
  </sheetViews>
  <sheetFormatPr baseColWidth="10" defaultColWidth="8.83203125" defaultRowHeight="15" x14ac:dyDescent="0.2"/>
  <cols>
    <col min="1" max="1" width="10" customWidth="1"/>
    <col min="2" max="2" width="90" customWidth="1"/>
    <col min="3" max="3" width="10" customWidth="1"/>
  </cols>
  <sheetData>
    <row r="1" spans="1:3" ht="17" customHeight="1" x14ac:dyDescent="0.2">
      <c r="A1" s="42" t="s">
        <v>162</v>
      </c>
      <c r="B1" s="23"/>
      <c r="C1" s="23"/>
    </row>
    <row r="3" spans="1:3" x14ac:dyDescent="0.2">
      <c r="A3" s="1" t="s">
        <v>163</v>
      </c>
      <c r="B3" s="1" t="s">
        <v>164</v>
      </c>
      <c r="C3" s="1" t="s">
        <v>153</v>
      </c>
    </row>
    <row r="4" spans="1:3" ht="32" customHeight="1" x14ac:dyDescent="0.2">
      <c r="A4" s="14" t="s">
        <v>148</v>
      </c>
      <c r="B4" s="14" t="s">
        <v>165</v>
      </c>
      <c r="C4" s="14" t="s">
        <v>160</v>
      </c>
    </row>
    <row r="5" spans="1:3" ht="16" customHeight="1" x14ac:dyDescent="0.2">
      <c r="A5" s="14" t="s">
        <v>149</v>
      </c>
      <c r="B5" s="14" t="s">
        <v>166</v>
      </c>
      <c r="C5" s="14" t="s">
        <v>160</v>
      </c>
    </row>
    <row r="6" spans="1:3" ht="16" customHeight="1" x14ac:dyDescent="0.2">
      <c r="A6" s="14" t="s">
        <v>150</v>
      </c>
      <c r="B6" s="14" t="s">
        <v>167</v>
      </c>
      <c r="C6" s="14" t="s">
        <v>160</v>
      </c>
    </row>
    <row r="7" spans="1:3" ht="16" customHeight="1" x14ac:dyDescent="0.2">
      <c r="A7" s="14" t="s">
        <v>151</v>
      </c>
      <c r="B7" s="14" t="s">
        <v>168</v>
      </c>
      <c r="C7" s="14" t="s">
        <v>160</v>
      </c>
    </row>
    <row r="8" spans="1:3" ht="32" customHeight="1" x14ac:dyDescent="0.2">
      <c r="A8" s="14" t="s">
        <v>152</v>
      </c>
      <c r="B8" s="14" t="s">
        <v>169</v>
      </c>
      <c r="C8" s="14" t="s">
        <v>160</v>
      </c>
    </row>
    <row r="10" spans="1:3" ht="32" customHeight="1" x14ac:dyDescent="0.2">
      <c r="A10" s="6" t="s">
        <v>107</v>
      </c>
      <c r="B10" s="7" t="s">
        <v>170</v>
      </c>
    </row>
  </sheetData>
  <mergeCells count="1">
    <mergeCell ref="A1:C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
  <sheetViews>
    <sheetView workbookViewId="0">
      <selection sqref="A1:H1"/>
    </sheetView>
  </sheetViews>
  <sheetFormatPr baseColWidth="10" defaultColWidth="8.83203125" defaultRowHeight="15" x14ac:dyDescent="0.2"/>
  <cols>
    <col min="1" max="2" width="18" customWidth="1"/>
    <col min="3" max="3" width="14" customWidth="1"/>
    <col min="4" max="4" width="19" customWidth="1"/>
    <col min="5" max="5" width="20" customWidth="1"/>
    <col min="6" max="6" width="30" customWidth="1"/>
    <col min="7" max="7" width="14" customWidth="1"/>
    <col min="8" max="8" width="34" customWidth="1"/>
  </cols>
  <sheetData>
    <row r="1" spans="1:8" ht="17" customHeight="1" x14ac:dyDescent="0.2">
      <c r="A1" s="42" t="s">
        <v>171</v>
      </c>
      <c r="B1" s="23"/>
      <c r="C1" s="23"/>
      <c r="D1" s="23"/>
      <c r="E1" s="23"/>
      <c r="F1" s="23"/>
      <c r="G1" s="23"/>
      <c r="H1" s="23"/>
    </row>
    <row r="3" spans="1:8" x14ac:dyDescent="0.2">
      <c r="A3" s="1" t="s">
        <v>172</v>
      </c>
      <c r="B3" s="1" t="s">
        <v>173</v>
      </c>
      <c r="C3" s="1" t="s">
        <v>174</v>
      </c>
      <c r="D3" s="1" t="s">
        <v>175</v>
      </c>
      <c r="E3" s="1" t="s">
        <v>176</v>
      </c>
      <c r="F3" s="1" t="s">
        <v>177</v>
      </c>
      <c r="G3" s="1" t="s">
        <v>178</v>
      </c>
      <c r="H3" s="1" t="s">
        <v>116</v>
      </c>
    </row>
    <row r="4" spans="1:8" x14ac:dyDescent="0.2">
      <c r="A4" s="8">
        <v>25000</v>
      </c>
      <c r="B4" s="8">
        <f>Inputs!B7-(25000+Inputs!B13)</f>
        <v>-15000</v>
      </c>
      <c r="C4" s="8">
        <f>MIN(25000*Inputs!B16,MAX((25000+Inputs!B13)-Inputs!B7,0)*Inputs!B16)</f>
        <v>9750</v>
      </c>
      <c r="D4" s="8">
        <f>Inputs!B7+C4-(25000+Inputs!B13)</f>
        <v>-5250</v>
      </c>
      <c r="E4" s="8">
        <f>Inputs!B7+Episode_Cost_Breakdown!E7+Episode_Cost_Breakdown!E8+Episode_Cost_Breakdown!E9+Episode_Cost_Breakdown!E10</f>
        <v>65500</v>
      </c>
      <c r="F4" s="8">
        <f>Inputs!B7+C4+ROUND(Episode_Cost_Breakdown!E7*(1-Episode_Total_Care!B4),0)+ROUND(Episode_Cost_Breakdown!E8*(1-Episode_Total_Care!B5),0)+ROUND(Episode_Cost_Breakdown!E9*(1-Episode_Total_Care!B6),0)+ROUND(Episode_Cost_Breakdown!E10*(1-Episode_Total_Care!B7),0)</f>
        <v>61150</v>
      </c>
      <c r="G4" s="8">
        <f>F4-E4</f>
        <v>-4350</v>
      </c>
      <c r="H4" t="s">
        <v>179</v>
      </c>
    </row>
    <row r="5" spans="1:8" x14ac:dyDescent="0.2">
      <c r="A5" s="8">
        <v>35000</v>
      </c>
      <c r="B5" s="8">
        <f>Inputs!B7-(35000+Inputs!B13)</f>
        <v>-25000</v>
      </c>
      <c r="C5" s="8">
        <f>MIN(35000*Inputs!B16,MAX((35000+Inputs!B13)-Inputs!B7,0)*Inputs!B16)</f>
        <v>16250</v>
      </c>
      <c r="D5" s="8">
        <f>Inputs!B7+C5-(35000+Inputs!B13)</f>
        <v>-8750</v>
      </c>
      <c r="E5" s="8">
        <f>Inputs!B7+Episode_Cost_Breakdown!E7+Episode_Cost_Breakdown!E8+Episode_Cost_Breakdown!E9+Episode_Cost_Breakdown!E10</f>
        <v>65500</v>
      </c>
      <c r="F5" s="8">
        <f>Inputs!B7+C5+ROUND(Episode_Cost_Breakdown!E7*(1-Episode_Total_Care!B4),0)+ROUND(Episode_Cost_Breakdown!E8*(1-Episode_Total_Care!B5),0)+ROUND(Episode_Cost_Breakdown!E9*(1-Episode_Total_Care!B6),0)+ROUND(Episode_Cost_Breakdown!E10*(1-Episode_Total_Care!B7),0)</f>
        <v>67650</v>
      </c>
      <c r="G5" s="8">
        <f>F5-E5</f>
        <v>2150</v>
      </c>
      <c r="H5" t="s">
        <v>179</v>
      </c>
    </row>
    <row r="6" spans="1:8" x14ac:dyDescent="0.2">
      <c r="A6" s="8">
        <v>50000</v>
      </c>
      <c r="B6" s="8">
        <f>Inputs!B7-(50000+Inputs!B13)</f>
        <v>-40000</v>
      </c>
      <c r="C6" s="8">
        <f>MIN(50000*Inputs!B16,MAX((50000+Inputs!B13)-Inputs!B7,0)*Inputs!B16)</f>
        <v>26000</v>
      </c>
      <c r="D6" s="8">
        <f>Inputs!B7+C6-(50000+Inputs!B13)</f>
        <v>-14000</v>
      </c>
      <c r="E6" s="8">
        <f>Inputs!B7+Episode_Cost_Breakdown!E7+Episode_Cost_Breakdown!E8+Episode_Cost_Breakdown!E9+Episode_Cost_Breakdown!E10</f>
        <v>65500</v>
      </c>
      <c r="F6" s="8">
        <f>Inputs!B7+C6+ROUND(Episode_Cost_Breakdown!E7*(1-Episode_Total_Care!B4),0)+ROUND(Episode_Cost_Breakdown!E8*(1-Episode_Total_Care!B5),0)+ROUND(Episode_Cost_Breakdown!E9*(1-Episode_Total_Care!B6),0)+ROUND(Episode_Cost_Breakdown!E10*(1-Episode_Total_Care!B7),0)</f>
        <v>77400</v>
      </c>
      <c r="G6" s="8">
        <f>F6-E6</f>
        <v>11900</v>
      </c>
      <c r="H6" t="s">
        <v>179</v>
      </c>
    </row>
    <row r="8" spans="1:8" ht="128" customHeight="1" x14ac:dyDescent="0.2">
      <c r="A8" s="6" t="s">
        <v>180</v>
      </c>
      <c r="B8" s="7" t="s">
        <v>181</v>
      </c>
    </row>
  </sheetData>
  <mergeCells count="1">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6"/>
  <sheetViews>
    <sheetView workbookViewId="0">
      <selection sqref="A1:I1"/>
    </sheetView>
  </sheetViews>
  <sheetFormatPr baseColWidth="10" defaultColWidth="8.83203125" defaultRowHeight="15" x14ac:dyDescent="0.2"/>
  <cols>
    <col min="1" max="2" width="16" customWidth="1"/>
    <col min="3" max="3" width="17" customWidth="1"/>
    <col min="4" max="4" width="18" customWidth="1"/>
    <col min="5" max="5" width="24" customWidth="1"/>
    <col min="6" max="8" width="18" customWidth="1"/>
    <col min="9" max="9" width="40" customWidth="1"/>
  </cols>
  <sheetData>
    <row r="1" spans="1:9" ht="17" customHeight="1" x14ac:dyDescent="0.2">
      <c r="A1" s="42" t="s">
        <v>182</v>
      </c>
      <c r="B1" s="23"/>
      <c r="C1" s="23"/>
      <c r="D1" s="23"/>
      <c r="E1" s="23"/>
      <c r="F1" s="23"/>
      <c r="G1" s="23"/>
      <c r="H1" s="23"/>
      <c r="I1" s="23"/>
    </row>
    <row r="3" spans="1:9" x14ac:dyDescent="0.2">
      <c r="A3" s="1" t="s">
        <v>18</v>
      </c>
      <c r="B3" s="1" t="s">
        <v>183</v>
      </c>
      <c r="C3" s="1" t="s">
        <v>184</v>
      </c>
      <c r="D3" s="1" t="s">
        <v>185</v>
      </c>
      <c r="E3" s="1" t="s">
        <v>186</v>
      </c>
      <c r="F3" s="1" t="s">
        <v>187</v>
      </c>
      <c r="G3" s="1" t="s">
        <v>188</v>
      </c>
      <c r="H3" s="1" t="s">
        <v>189</v>
      </c>
      <c r="I3" s="1" t="s">
        <v>50</v>
      </c>
    </row>
    <row r="4" spans="1:9" x14ac:dyDescent="0.2">
      <c r="A4" t="s">
        <v>190</v>
      </c>
      <c r="B4" s="3">
        <v>0.1</v>
      </c>
      <c r="C4" s="3">
        <v>0.2</v>
      </c>
      <c r="D4" s="3">
        <v>0.15</v>
      </c>
      <c r="E4" s="3">
        <v>0.25</v>
      </c>
      <c r="F4" s="8">
        <f>(Inputs!B7+MIN(25000*Inputs!B16,MAX((25000+Inputs!B13)-Inputs!B7,0)*Inputs!B16)+(ROUND(Episode_Cost_Breakdown!E7*(1-B4),0)+ROUND(Episode_Cost_Breakdown!E8*(1-C4),0)+ROUND(Episode_Cost_Breakdown!E9*(1-D4),0)+ROUND(Episode_Cost_Breakdown!E10*(1-E4),0)))-(Inputs!B7+Episode_Cost_Breakdown!E7+Episode_Cost_Breakdown!E8+Episode_Cost_Breakdown!E9+Episode_Cost_Breakdown!E10)</f>
        <v>2700</v>
      </c>
      <c r="G4" s="8">
        <f>(Inputs!B7+MIN(35000*Inputs!B16,MAX((35000+Inputs!B13)-Inputs!B7,0)*Inputs!B16)+(ROUND(Episode_Cost_Breakdown!E7*(1-B4),0)+ROUND(Episode_Cost_Breakdown!E8*(1-C4),0)+ROUND(Episode_Cost_Breakdown!E9*(1-D4),0)+ROUND(Episode_Cost_Breakdown!E10*(1-E4),0)))-(Inputs!B7+Episode_Cost_Breakdown!E7+Episode_Cost_Breakdown!E8+Episode_Cost_Breakdown!E9+Episode_Cost_Breakdown!E10)</f>
        <v>9200</v>
      </c>
      <c r="H4" s="8">
        <f>(Inputs!B7+MIN(50000*Inputs!B16,MAX((50000+Inputs!B13)-Inputs!B7,0)*Inputs!B16)+(ROUND(Episode_Cost_Breakdown!E7*(1-B4),0)+ROUND(Episode_Cost_Breakdown!E8*(1-C4),0)+ROUND(Episode_Cost_Breakdown!E9*(1-D4),0)+ROUND(Episode_Cost_Breakdown!E10*(1-E4),0)))-(Inputs!B7+Episode_Cost_Breakdown!E7+Episode_Cost_Breakdown!E8+Episode_Cost_Breakdown!E9+Episode_Cost_Breakdown!E10)</f>
        <v>18950</v>
      </c>
      <c r="I4" t="s">
        <v>191</v>
      </c>
    </row>
    <row r="5" spans="1:9" x14ac:dyDescent="0.2">
      <c r="A5" t="s">
        <v>192</v>
      </c>
      <c r="B5" s="3">
        <v>0.2</v>
      </c>
      <c r="C5" s="3">
        <v>0.4</v>
      </c>
      <c r="D5" s="3">
        <v>0.3</v>
      </c>
      <c r="E5" s="3">
        <v>0.5</v>
      </c>
      <c r="F5" s="8">
        <f>(Inputs!B7+MIN(25000*Inputs!B16,MAX((25000+Inputs!B13)-Inputs!B7,0)*Inputs!B16)+(ROUND(Episode_Cost_Breakdown!E7*(1-B5),0)+ROUND(Episode_Cost_Breakdown!E8*(1-C5),0)+ROUND(Episode_Cost_Breakdown!E9*(1-D5),0)+ROUND(Episode_Cost_Breakdown!E10*(1-E5),0)))-(Inputs!B7+Episode_Cost_Breakdown!E7+Episode_Cost_Breakdown!E8+Episode_Cost_Breakdown!E9+Episode_Cost_Breakdown!E10)</f>
        <v>-4350</v>
      </c>
      <c r="G5" s="8">
        <f>(Inputs!B7+MIN(35000*Inputs!B16,MAX((35000+Inputs!B13)-Inputs!B7,0)*Inputs!B16)+(ROUND(Episode_Cost_Breakdown!E7*(1-B5),0)+ROUND(Episode_Cost_Breakdown!E8*(1-C5),0)+ROUND(Episode_Cost_Breakdown!E9*(1-D5),0)+ROUND(Episode_Cost_Breakdown!E10*(1-E5),0)))-(Inputs!B7+Episode_Cost_Breakdown!E7+Episode_Cost_Breakdown!E8+Episode_Cost_Breakdown!E9+Episode_Cost_Breakdown!E10)</f>
        <v>2150</v>
      </c>
      <c r="H5" s="8">
        <f>(Inputs!B7+MIN(50000*Inputs!B16,MAX((50000+Inputs!B13)-Inputs!B7,0)*Inputs!B16)+(ROUND(Episode_Cost_Breakdown!E7*(1-B5),0)+ROUND(Episode_Cost_Breakdown!E8*(1-C5),0)+ROUND(Episode_Cost_Breakdown!E9*(1-D5),0)+ROUND(Episode_Cost_Breakdown!E10*(1-E5),0)))-(Inputs!B7+Episode_Cost_Breakdown!E7+Episode_Cost_Breakdown!E8+Episode_Cost_Breakdown!E9+Episode_Cost_Breakdown!E10)</f>
        <v>11900</v>
      </c>
      <c r="I5" t="s">
        <v>193</v>
      </c>
    </row>
    <row r="6" spans="1:9" x14ac:dyDescent="0.2">
      <c r="A6" t="s">
        <v>194</v>
      </c>
      <c r="B6" s="3">
        <v>0.3</v>
      </c>
      <c r="C6" s="3">
        <v>0.7</v>
      </c>
      <c r="D6" s="3">
        <v>0.6</v>
      </c>
      <c r="E6" s="3">
        <v>1</v>
      </c>
      <c r="F6" s="8">
        <f>(Inputs!B7+MIN(25000*Inputs!B16,MAX((25000+Inputs!B13)-Inputs!B7,0)*Inputs!B16)+(ROUND(Episode_Cost_Breakdown!E7*(1-B6),0)+ROUND(Episode_Cost_Breakdown!E8*(1-C6),0)+ROUND(Episode_Cost_Breakdown!E9*(1-D6),0)+ROUND(Episode_Cost_Breakdown!E10*(1-E6),0)))-(Inputs!B7+Episode_Cost_Breakdown!E7+Episode_Cost_Breakdown!E8+Episode_Cost_Breakdown!E9+Episode_Cost_Breakdown!E10)</f>
        <v>-16700</v>
      </c>
      <c r="G6" s="8">
        <f>(Inputs!B7+MIN(35000*Inputs!B16,MAX((35000+Inputs!B13)-Inputs!B7,0)*Inputs!B16)+(ROUND(Episode_Cost_Breakdown!E7*(1-B6),0)+ROUND(Episode_Cost_Breakdown!E8*(1-C6),0)+ROUND(Episode_Cost_Breakdown!E9*(1-D6),0)+ROUND(Episode_Cost_Breakdown!E10*(1-E6),0)))-(Inputs!B7+Episode_Cost_Breakdown!E7+Episode_Cost_Breakdown!E8+Episode_Cost_Breakdown!E9+Episode_Cost_Breakdown!E10)</f>
        <v>-10200</v>
      </c>
      <c r="H6" s="8">
        <f>(Inputs!B7+MIN(50000*Inputs!B16,MAX((50000+Inputs!B13)-Inputs!B7,0)*Inputs!B16)+(ROUND(Episode_Cost_Breakdown!E7*(1-B6),0)+ROUND(Episode_Cost_Breakdown!E8*(1-C6),0)+ROUND(Episode_Cost_Breakdown!E9*(1-D6),0)+ROUND(Episode_Cost_Breakdown!E10*(1-E6),0)))-(Inputs!B7+Episode_Cost_Breakdown!E7+Episode_Cost_Breakdown!E8+Episode_Cost_Breakdown!E9+Episode_Cost_Breakdown!E10)</f>
        <v>-450</v>
      </c>
      <c r="I6" t="s">
        <v>195</v>
      </c>
    </row>
  </sheetData>
  <mergeCells count="1">
    <mergeCell ref="A1:I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7"/>
  <sheetViews>
    <sheetView workbookViewId="0"/>
  </sheetViews>
  <sheetFormatPr baseColWidth="10" defaultColWidth="8.83203125" defaultRowHeight="15" x14ac:dyDescent="0.2"/>
  <cols>
    <col min="1" max="1" width="8" customWidth="1"/>
    <col min="2" max="2" width="48" customWidth="1"/>
    <col min="3" max="3" width="120" customWidth="1"/>
  </cols>
  <sheetData>
    <row r="1" spans="1:3" ht="17" customHeight="1" x14ac:dyDescent="0.2">
      <c r="A1" s="4" t="s">
        <v>196</v>
      </c>
    </row>
    <row r="3" spans="1:3" x14ac:dyDescent="0.2">
      <c r="A3" s="1" t="s">
        <v>197</v>
      </c>
      <c r="B3" s="1" t="s">
        <v>198</v>
      </c>
      <c r="C3" s="1" t="s">
        <v>199</v>
      </c>
    </row>
    <row r="4" spans="1:3" ht="32" customHeight="1" x14ac:dyDescent="0.2">
      <c r="A4" s="14" t="s">
        <v>200</v>
      </c>
      <c r="B4" s="14" t="s">
        <v>201</v>
      </c>
      <c r="C4" s="15" t="s">
        <v>202</v>
      </c>
    </row>
    <row r="5" spans="1:3" ht="16" customHeight="1" x14ac:dyDescent="0.2">
      <c r="A5" s="14" t="s">
        <v>203</v>
      </c>
      <c r="B5" s="14" t="s">
        <v>204</v>
      </c>
      <c r="C5" s="15" t="s">
        <v>205</v>
      </c>
    </row>
    <row r="6" spans="1:3" ht="16" customHeight="1" x14ac:dyDescent="0.2">
      <c r="A6" s="14" t="s">
        <v>206</v>
      </c>
      <c r="B6" s="14" t="s">
        <v>207</v>
      </c>
      <c r="C6" s="15" t="s">
        <v>208</v>
      </c>
    </row>
    <row r="7" spans="1:3" ht="16" customHeight="1" x14ac:dyDescent="0.2">
      <c r="A7" s="14" t="s">
        <v>209</v>
      </c>
      <c r="B7" s="14" t="s">
        <v>210</v>
      </c>
      <c r="C7" s="15" t="s">
        <v>211</v>
      </c>
    </row>
    <row r="8" spans="1:3" ht="32" customHeight="1" x14ac:dyDescent="0.2">
      <c r="A8" s="14" t="s">
        <v>212</v>
      </c>
      <c r="B8" s="14" t="s">
        <v>213</v>
      </c>
      <c r="C8" s="15" t="s">
        <v>214</v>
      </c>
    </row>
    <row r="9" spans="1:3" ht="16" customHeight="1" x14ac:dyDescent="0.2">
      <c r="A9" s="14" t="s">
        <v>215</v>
      </c>
      <c r="B9" s="14" t="s">
        <v>216</v>
      </c>
      <c r="C9" s="15" t="s">
        <v>217</v>
      </c>
    </row>
    <row r="10" spans="1:3" ht="32" customHeight="1" x14ac:dyDescent="0.2">
      <c r="A10" s="14" t="s">
        <v>218</v>
      </c>
      <c r="B10" s="14" t="s">
        <v>219</v>
      </c>
      <c r="C10" s="15" t="s">
        <v>220</v>
      </c>
    </row>
    <row r="11" spans="1:3" ht="16" customHeight="1" x14ac:dyDescent="0.2">
      <c r="A11" s="14" t="s">
        <v>221</v>
      </c>
      <c r="B11" s="14" t="s">
        <v>222</v>
      </c>
      <c r="C11" s="15" t="s">
        <v>223</v>
      </c>
    </row>
    <row r="12" spans="1:3" ht="16" customHeight="1" x14ac:dyDescent="0.2">
      <c r="A12" s="14" t="s">
        <v>224</v>
      </c>
      <c r="B12" s="14" t="s">
        <v>225</v>
      </c>
      <c r="C12" s="15" t="s">
        <v>226</v>
      </c>
    </row>
    <row r="13" spans="1:3" ht="16" customHeight="1" x14ac:dyDescent="0.2">
      <c r="A13" s="14" t="s">
        <v>227</v>
      </c>
      <c r="B13" s="14" t="s">
        <v>228</v>
      </c>
      <c r="C13" s="15" t="s">
        <v>229</v>
      </c>
    </row>
    <row r="14" spans="1:3" ht="16" customHeight="1" x14ac:dyDescent="0.2">
      <c r="A14" s="14" t="s">
        <v>230</v>
      </c>
      <c r="B14" s="14" t="s">
        <v>231</v>
      </c>
      <c r="C14" s="15" t="s">
        <v>232</v>
      </c>
    </row>
    <row r="15" spans="1:3" ht="16" customHeight="1" x14ac:dyDescent="0.2">
      <c r="A15" s="14" t="s">
        <v>233</v>
      </c>
      <c r="B15" s="14" t="s">
        <v>234</v>
      </c>
      <c r="C15" s="15" t="s">
        <v>235</v>
      </c>
    </row>
    <row r="16" spans="1:3" ht="16" customHeight="1" x14ac:dyDescent="0.2">
      <c r="A16" s="14" t="s">
        <v>154</v>
      </c>
      <c r="B16" s="14" t="s">
        <v>236</v>
      </c>
      <c r="C16" s="15" t="s">
        <v>237</v>
      </c>
    </row>
    <row r="17" spans="1:3" ht="16" customHeight="1" x14ac:dyDescent="0.2">
      <c r="A17" s="14" t="s">
        <v>155</v>
      </c>
      <c r="B17" s="14" t="s">
        <v>238</v>
      </c>
      <c r="C17" s="15" t="s">
        <v>239</v>
      </c>
    </row>
    <row r="18" spans="1:3" ht="16" customHeight="1" x14ac:dyDescent="0.2">
      <c r="A18" s="14" t="s">
        <v>156</v>
      </c>
      <c r="B18" s="14" t="s">
        <v>240</v>
      </c>
      <c r="C18" s="15" t="s">
        <v>241</v>
      </c>
    </row>
    <row r="19" spans="1:3" ht="16" customHeight="1" x14ac:dyDescent="0.2">
      <c r="A19" s="14" t="s">
        <v>157</v>
      </c>
      <c r="B19" s="14" t="s">
        <v>242</v>
      </c>
      <c r="C19" s="15" t="s">
        <v>243</v>
      </c>
    </row>
    <row r="20" spans="1:3" ht="16" customHeight="1" x14ac:dyDescent="0.2">
      <c r="A20" s="14" t="s">
        <v>158</v>
      </c>
      <c r="B20" s="14" t="s">
        <v>244</v>
      </c>
      <c r="C20" s="15" t="s">
        <v>245</v>
      </c>
    </row>
    <row r="21" spans="1:3" ht="16" customHeight="1" x14ac:dyDescent="0.2">
      <c r="A21" s="14" t="s">
        <v>159</v>
      </c>
      <c r="B21" s="14" t="s">
        <v>246</v>
      </c>
      <c r="C21" s="15" t="s">
        <v>247</v>
      </c>
    </row>
    <row r="22" spans="1:3" ht="16" customHeight="1" x14ac:dyDescent="0.2">
      <c r="A22" s="14" t="s">
        <v>160</v>
      </c>
      <c r="B22" s="14" t="s">
        <v>248</v>
      </c>
      <c r="C22" s="15" t="s">
        <v>249</v>
      </c>
    </row>
    <row r="23" spans="1:3" ht="16" customHeight="1" x14ac:dyDescent="0.2">
      <c r="A23" s="14" t="s">
        <v>250</v>
      </c>
      <c r="B23" s="14" t="s">
        <v>251</v>
      </c>
      <c r="C23" s="15" t="s">
        <v>252</v>
      </c>
    </row>
    <row r="24" spans="1:3" ht="16" customHeight="1" x14ac:dyDescent="0.2">
      <c r="A24" s="14" t="s">
        <v>253</v>
      </c>
      <c r="B24" s="14" t="s">
        <v>254</v>
      </c>
      <c r="C24" s="15" t="s">
        <v>255</v>
      </c>
    </row>
    <row r="25" spans="1:3" ht="32" customHeight="1" x14ac:dyDescent="0.2">
      <c r="A25" s="14" t="s">
        <v>256</v>
      </c>
      <c r="B25" s="14" t="s">
        <v>257</v>
      </c>
      <c r="C25" s="15" t="s">
        <v>258</v>
      </c>
    </row>
    <row r="26" spans="1:3" ht="16" customHeight="1" x14ac:dyDescent="0.2">
      <c r="A26" s="14" t="s">
        <v>259</v>
      </c>
      <c r="B26" s="14" t="s">
        <v>260</v>
      </c>
      <c r="C26" s="15" t="s">
        <v>261</v>
      </c>
    </row>
    <row r="27" spans="1:3" ht="16" customHeight="1" x14ac:dyDescent="0.2">
      <c r="A27" s="14" t="s">
        <v>262</v>
      </c>
      <c r="B27" s="14" t="s">
        <v>263</v>
      </c>
      <c r="C27" s="15" t="s">
        <v>264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Cover</vt:lpstr>
      <vt:lpstr>Inputs</vt:lpstr>
      <vt:lpstr>Episode_Cost_Breakdown</vt:lpstr>
      <vt:lpstr>Scenario_No_NTAP</vt:lpstr>
      <vt:lpstr>Scenario_NTAP</vt:lpstr>
      <vt:lpstr>Scenario_Post_DRG</vt:lpstr>
      <vt:lpstr>Episode_Total_Care</vt:lpstr>
      <vt:lpstr>Sensitivity</vt:lpstr>
      <vt:lpstr>DRG_Weights_Trend</vt:lpstr>
      <vt:lpstr>DRG_YoY_Change</vt:lpstr>
      <vt:lpstr>DRG_Definitions</vt:lpstr>
      <vt:lpstr>Price_Ladder</vt:lpstr>
      <vt:lpstr>Episode_Scenarios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Stewart</cp:lastModifiedBy>
  <dcterms:created xsi:type="dcterms:W3CDTF">2026-04-03T10:57:52Z</dcterms:created>
  <dcterms:modified xsi:type="dcterms:W3CDTF">2026-04-09T12:14:48Z</dcterms:modified>
</cp:coreProperties>
</file>