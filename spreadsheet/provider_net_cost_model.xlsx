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osephstewart/Documents/JLPolicyConsulting/output/spreadsheet/"/>
    </mc:Choice>
  </mc:AlternateContent>
  <xr:revisionPtr revIDLastSave="0" documentId="13_ncr:1_{ED62547A-B2B2-B141-97E6-1B356A1790E4}" xr6:coauthVersionLast="47" xr6:coauthVersionMax="47" xr10:uidLastSave="{00000000-0000-0000-0000-000000000000}"/>
  <bookViews>
    <workbookView xWindow="0" yWindow="700" windowWidth="34200" windowHeight="19740" activeTab="2" xr2:uid="{00000000-000D-0000-FFFF-FFFF00000000}"/>
  </bookViews>
  <sheets>
    <sheet name="Cover" sheetId="1" r:id="rId1"/>
    <sheet name="Assumptions" sheetId="2" r:id="rId2"/>
    <sheet name="DrugModel" sheetId="3" r:id="rId3"/>
    <sheet name="OpMargin" sheetId="4" r:id="rId4"/>
    <sheet name="Sensitivity" sheetId="5" r:id="rId5"/>
    <sheet name="Sources" sheetId="6"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7" i="5" l="1"/>
  <c r="B26" i="5"/>
  <c r="B25" i="5"/>
  <c r="B24" i="5"/>
  <c r="B23" i="5"/>
  <c r="B22" i="5"/>
  <c r="B21" i="5"/>
  <c r="B16" i="5"/>
  <c r="B15" i="5"/>
  <c r="B14" i="5"/>
  <c r="B13" i="5"/>
  <c r="B12" i="5"/>
  <c r="B11" i="5"/>
  <c r="B10" i="5"/>
  <c r="B9" i="5"/>
  <c r="B8" i="5"/>
  <c r="B7" i="5"/>
  <c r="B6" i="5"/>
  <c r="D16" i="4"/>
  <c r="C16" i="4"/>
  <c r="B8" i="4"/>
  <c r="B7" i="4"/>
  <c r="F6" i="4"/>
  <c r="B6" i="4"/>
  <c r="G6" i="1" s="1"/>
  <c r="C14" i="3"/>
  <c r="B14" i="3"/>
  <c r="F9" i="3"/>
  <c r="B9" i="3"/>
  <c r="B7" i="3"/>
  <c r="F6" i="3"/>
  <c r="B6" i="3"/>
  <c r="B43" i="2"/>
  <c r="F8" i="4" s="1"/>
  <c r="B42" i="2"/>
  <c r="F7" i="4" s="1"/>
  <c r="B41" i="2"/>
  <c r="E7" i="4" s="1"/>
  <c r="B40" i="2"/>
  <c r="D8" i="4" s="1"/>
  <c r="B39" i="2"/>
  <c r="B38" i="2"/>
  <c r="A19" i="1" s="1"/>
  <c r="B37" i="2"/>
  <c r="C16" i="3" s="1"/>
  <c r="B36" i="2"/>
  <c r="B8" i="3" s="1"/>
  <c r="B35" i="2"/>
  <c r="E19" i="1" s="1"/>
  <c r="B34" i="2"/>
  <c r="E9" i="3" s="1"/>
  <c r="B33" i="2"/>
  <c r="D9" i="3" s="1"/>
  <c r="B32" i="2"/>
  <c r="C8" i="3" s="1"/>
  <c r="G19" i="1"/>
  <c r="A6" i="1"/>
  <c r="G6" i="3" l="1"/>
  <c r="H6" i="3" s="1"/>
  <c r="D8" i="3"/>
  <c r="F8" i="3"/>
  <c r="G9" i="3"/>
  <c r="H9" i="3" s="1"/>
  <c r="D6" i="3"/>
  <c r="B16" i="3"/>
  <c r="B37" i="5"/>
  <c r="C37" i="5" s="1"/>
  <c r="D7" i="4"/>
  <c r="E8" i="4"/>
  <c r="D6" i="4"/>
  <c r="C6" i="1"/>
  <c r="B44" i="2"/>
  <c r="B45" i="2" s="1"/>
  <c r="C19" i="1" s="1"/>
  <c r="C14" i="5"/>
  <c r="D14" i="5" s="1"/>
  <c r="B36" i="5"/>
  <c r="C36" i="5" s="1"/>
  <c r="G8" i="3"/>
  <c r="H8" i="3" s="1"/>
  <c r="E8" i="3"/>
  <c r="E6" i="4"/>
  <c r="C17" i="4"/>
  <c r="C11" i="5"/>
  <c r="D11" i="5" s="1"/>
  <c r="C25" i="5"/>
  <c r="D25" i="5" s="1"/>
  <c r="B33" i="5"/>
  <c r="C33" i="5" s="1"/>
  <c r="D17" i="4"/>
  <c r="C8" i="5"/>
  <c r="D8" i="5" s="1"/>
  <c r="C22" i="5"/>
  <c r="D22" i="5" s="1"/>
  <c r="C7" i="3"/>
  <c r="C8" i="4"/>
  <c r="C15" i="5"/>
  <c r="D15" i="5" s="1"/>
  <c r="B34" i="5"/>
  <c r="C34" i="5" s="1"/>
  <c r="E7" i="3"/>
  <c r="B15" i="3"/>
  <c r="C12" i="5"/>
  <c r="D12" i="5" s="1"/>
  <c r="C26" i="5"/>
  <c r="D26" i="5" s="1"/>
  <c r="D7" i="3"/>
  <c r="E6" i="1"/>
  <c r="C6" i="3"/>
  <c r="F7" i="3"/>
  <c r="G7" i="3" s="1"/>
  <c r="H7" i="3" s="1"/>
  <c r="C15" i="3"/>
  <c r="C9" i="5"/>
  <c r="D9" i="5" s="1"/>
  <c r="C23" i="5"/>
  <c r="D23" i="5" s="1"/>
  <c r="B35" i="5"/>
  <c r="C35" i="5" s="1"/>
  <c r="C7" i="4"/>
  <c r="C6" i="5"/>
  <c r="D6" i="5" s="1"/>
  <c r="C16" i="5"/>
  <c r="D16" i="5" s="1"/>
  <c r="C9" i="3"/>
  <c r="E6" i="3"/>
  <c r="C13" i="5"/>
  <c r="D13" i="5" s="1"/>
  <c r="C27" i="5"/>
  <c r="D27" i="5" s="1"/>
  <c r="C10" i="5"/>
  <c r="D10" i="5" s="1"/>
  <c r="C24" i="5"/>
  <c r="D24" i="5" s="1"/>
  <c r="C6" i="4"/>
  <c r="C7" i="5"/>
  <c r="D7" i="5" s="1"/>
  <c r="C21" i="5"/>
  <c r="D21" i="5" s="1"/>
  <c r="B32" i="5"/>
  <c r="C32" i="5" s="1"/>
  <c r="G7" i="4" l="1"/>
  <c r="H7" i="4" s="1"/>
  <c r="G6" i="4"/>
  <c r="H6" i="4" s="1"/>
  <c r="C18" i="4"/>
  <c r="G8" i="4"/>
  <c r="H8" i="4" s="1"/>
  <c r="D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 Codex</author>
  </authors>
  <commentList>
    <comment ref="B5" authorId="0" shapeId="0" xr:uid="{00000000-0006-0000-0100-000001000000}">
      <text>
        <r>
          <rPr>
            <sz val="11"/>
            <color theme="1"/>
            <rFont val="Calibri"/>
            <family val="2"/>
            <scheme val="minor"/>
          </rPr>
          <t>Source: attached PDF brief, p. 1. WAC of $39,000 per 900 mg vial.</t>
        </r>
      </text>
    </comment>
    <comment ref="B6" authorId="0" shapeId="0" xr:uid="{00000000-0006-0000-0100-000002000000}">
      <text>
        <r>
          <rPr>
            <sz val="11"/>
            <color theme="1"/>
            <rFont val="Calibri"/>
            <family val="2"/>
            <scheme val="minor"/>
          </rPr>
          <t>Source: attached PDF brief, p. 1. 26 administrations per year.</t>
        </r>
      </text>
    </comment>
    <comment ref="B7" authorId="0" shapeId="0" xr:uid="{00000000-0006-0000-0100-000003000000}">
      <text>
        <r>
          <rPr>
            <sz val="11"/>
            <color theme="1"/>
            <rFont val="Calibri"/>
            <family val="2"/>
            <scheme val="minor"/>
          </rPr>
          <t>Derived from the concept brief table on p. 4; reference prices are 15%, 20%, and 30% below WAC.</t>
        </r>
      </text>
    </comment>
    <comment ref="B13" authorId="0" shapeId="0" xr:uid="{00000000-0006-0000-0100-000004000000}">
      <text>
        <r>
          <rPr>
            <sz val="11"/>
            <color theme="1"/>
            <rFont val="Calibri"/>
            <family val="2"/>
            <scheme val="minor"/>
          </rPr>
          <t>Source: attached PDF brief, p. 4. Medicare Part B benchmark at 103% of WAC.</t>
        </r>
      </text>
    </comment>
    <comment ref="B14" authorId="0" shapeId="0" xr:uid="{00000000-0006-0000-0100-000005000000}">
      <text>
        <r>
          <rPr>
            <sz val="11"/>
            <color theme="1"/>
            <rFont val="Calibri"/>
            <family val="2"/>
            <scheme val="minor"/>
          </rPr>
          <t>Source: HRSA new drug price estimation and 340B ceiling price guidance, cited in the brief; WAC minus 23.1% used as the estimate.</t>
        </r>
      </text>
    </comment>
    <comment ref="B15" authorId="0" shapeId="0" xr:uid="{00000000-0006-0000-0100-000006000000}">
      <text>
        <r>
          <rPr>
            <sz val="11"/>
            <color theme="1"/>
            <rFont val="Calibri"/>
            <family val="2"/>
            <scheme val="minor"/>
          </rPr>
          <t>Source: HRSA minimum rebate percentage referenced in the brief; WAC minus 17.1% for qualifying pediatric brand drugs.</t>
        </r>
      </text>
    </comment>
    <comment ref="B16" authorId="0" shapeId="0" xr:uid="{00000000-0006-0000-0100-000007000000}">
      <text>
        <r>
          <rPr>
            <sz val="11"/>
            <color theme="1"/>
            <rFont val="Calibri"/>
            <family val="2"/>
            <scheme val="minor"/>
          </rPr>
          <t>Source: attached PDF brief, p. 5. Denial drag modeled at 0.5% of total billed revenue.</t>
        </r>
      </text>
    </comment>
    <comment ref="B17" authorId="0" shapeId="0" xr:uid="{00000000-0006-0000-0100-000008000000}">
      <text>
        <r>
          <rPr>
            <sz val="11"/>
            <color theme="1"/>
            <rFont val="Calibri"/>
            <family val="2"/>
            <scheme val="minor"/>
          </rPr>
          <t>Source: attached PDF brief, p. 5. Payment speed modeled as 45 days to payment.</t>
        </r>
      </text>
    </comment>
    <comment ref="B18" authorId="0" shapeId="0" xr:uid="{00000000-0006-0000-0100-000009000000}">
      <text>
        <r>
          <rPr>
            <sz val="11"/>
            <color theme="1"/>
            <rFont val="Calibri"/>
            <family val="2"/>
            <scheme val="minor"/>
          </rPr>
          <t>Source: attached PDF brief, p. 5. 8% annual carrying-cost proxy.</t>
        </r>
      </text>
    </comment>
    <comment ref="B22" authorId="0" shapeId="0" xr:uid="{00000000-0006-0000-0100-00000A000000}">
      <text>
        <r>
          <rPr>
            <sz val="11"/>
            <color theme="1"/>
            <rFont val="Calibri"/>
            <family val="2"/>
            <scheme val="minor"/>
          </rPr>
          <t>Source: attached PDF brief, p. 5. $750 procedure revenue per administration.</t>
        </r>
      </text>
    </comment>
    <comment ref="B23" authorId="0" shapeId="0" xr:uid="{00000000-0006-0000-0100-00000B000000}">
      <text>
        <r>
          <rPr>
            <sz val="11"/>
            <color theme="1"/>
            <rFont val="Calibri"/>
            <family val="2"/>
            <scheme val="minor"/>
          </rPr>
          <t>Source: attached PDF brief, p. 5. 1.25 hours of physician time.</t>
        </r>
      </text>
    </comment>
    <comment ref="B24" authorId="0" shapeId="0" xr:uid="{00000000-0006-0000-0100-00000C000000}">
      <text>
        <r>
          <rPr>
            <sz val="11"/>
            <color theme="1"/>
            <rFont val="Calibri"/>
            <family val="2"/>
            <scheme val="minor"/>
          </rPr>
          <t>Source: BLS Pediatricians, General, mean hourly wage $98.97, cited in the brief.</t>
        </r>
      </text>
    </comment>
    <comment ref="B25" authorId="0" shapeId="0" xr:uid="{00000000-0006-0000-0100-00000D000000}">
      <text>
        <r>
          <rPr>
            <sz val="11"/>
            <color theme="1"/>
            <rFont val="Calibri"/>
            <family val="2"/>
            <scheme val="minor"/>
          </rPr>
          <t>Source: attached PDF brief, p. 5. 3.0 hours of nurse time.</t>
        </r>
      </text>
    </comment>
    <comment ref="B26" authorId="0" shapeId="0" xr:uid="{00000000-0006-0000-0100-00000E000000}">
      <text>
        <r>
          <rPr>
            <sz val="11"/>
            <color theme="1"/>
            <rFont val="Calibri"/>
            <family val="2"/>
            <scheme val="minor"/>
          </rPr>
          <t>Source: BLS December 2024 registered nurse wages and salaries rate of $50.21 per hour, cited in the brief.</t>
        </r>
      </text>
    </comment>
    <comment ref="B27" authorId="0" shapeId="0" xr:uid="{00000000-0006-0000-0100-00000F000000}">
      <text>
        <r>
          <rPr>
            <sz val="11"/>
            <color theme="1"/>
            <rFont val="Calibri"/>
            <family val="2"/>
            <scheme val="minor"/>
          </rPr>
          <t>Source: attached PDF brief, p. 3. Internal payer mix is 50% Medicaid; this complements a 50% commercial assumption for blended planning.</t>
        </r>
      </text>
    </comment>
  </commentList>
</comments>
</file>

<file path=xl/sharedStrings.xml><?xml version="1.0" encoding="utf-8"?>
<sst xmlns="http://schemas.openxmlformats.org/spreadsheetml/2006/main" count="289" uniqueCount="222">
  <si>
    <t>Provider Net Cost Model</t>
  </si>
  <si>
    <t>Annualized spread by scenario</t>
  </si>
  <si>
    <t>A provider economics model for WAC, 340B, Medicare, reimbursement timing, and operating margin under launch conditions.</t>
  </si>
  <si>
    <t>Built from the attached concept brief. Blue cells elsewhere are editable inputs; gray cells are formulas.</t>
  </si>
  <si>
    <t>WAC / dose</t>
  </si>
  <si>
    <t>340B new-drug</t>
  </si>
  <si>
    <t>Medicare benchmark</t>
  </si>
  <si>
    <t>Base op margin / dose</t>
  </si>
  <si>
    <t>Launch anchor</t>
  </si>
  <si>
    <t>Ceiling-price estimate</t>
  </si>
  <si>
    <t>103% of WAC</t>
  </si>
  <si>
    <t>No extra support</t>
  </si>
  <si>
    <t>What it shows</t>
  </si>
  <si>
    <t>Decision use</t>
  </si>
  <si>
    <t>This model translates payer mechanics into provider economics. It separates acquisition cost, reimbursement benchmarks, 340B pricing, cash timing, and operating friction so you can see where economics are thin, where they are favorable, and where support actually changes the outcome.</t>
  </si>
  <si>
    <t>Use the model to compare WAC, Medicare, and 340B economics; test how delay and support change the net margin; and explain why a site that looks viable on paper may still fail once denial drag, payment lag, or channel rules are applied.</t>
  </si>
  <si>
    <t>Annual WAC</t>
  </si>
  <si>
    <t>340B spread / year</t>
  </si>
  <si>
    <t>Medicare spread / dose</t>
  </si>
  <si>
    <t>Payment speed cost / dose</t>
  </si>
  <si>
    <t>Navigation</t>
  </si>
  <si>
    <t>[Assumptions]</t>
  </si>
  <si>
    <t>Editable inputs and derived values</t>
  </si>
  <si>
    <t>[DrugModel]</t>
  </si>
  <si>
    <t>Drug spread and 340B scenarios</t>
  </si>
  <si>
    <t>[OpMargin]</t>
  </si>
  <si>
    <t>Operating margin cases</t>
  </si>
  <si>
    <t>[Sensitivity]</t>
  </si>
  <si>
    <t>Support, delay, and revenue sensitivities</t>
  </si>
  <si>
    <t>[Sources]</t>
  </si>
  <si>
    <t>Plain-text source index</t>
  </si>
  <si>
    <t>Model Assumptions</t>
  </si>
  <si>
    <t>Blue cells are editable inputs. Gray cells are formulas. Comments point to the attached brief or public sources.</t>
  </si>
  <si>
    <t>Product and launch inputs</t>
  </si>
  <si>
    <t>WAC per dose</t>
  </si>
  <si>
    <t>$ / dose</t>
  </si>
  <si>
    <t>Launch anchor used throughout the brief.</t>
  </si>
  <si>
    <t>Administrations per year</t>
  </si>
  <si>
    <t>doses / year</t>
  </si>
  <si>
    <t>Base annual utilization used in the scenario tables.</t>
  </si>
  <si>
    <t>Reference price haircut</t>
  </si>
  <si>
    <t>%</t>
  </si>
  <si>
    <t>Used to create the 15% reference price.</t>
  </si>
  <si>
    <t>Used to create the 20% reference price.</t>
  </si>
  <si>
    <t>Used to create the 30% reference price.</t>
  </si>
  <si>
    <t>Policy and payment inputs</t>
  </si>
  <si>
    <t>Medicare benchmark uplift</t>
  </si>
  <si>
    <t>Medicare initial-sales benchmark used in the brief.</t>
  </si>
  <si>
    <t>340B new-drug discount</t>
  </si>
  <si>
    <t>HRSA new-drug ceiling price estimate.</t>
  </si>
  <si>
    <t>340B pediatric brand discount</t>
  </si>
  <si>
    <t>Alternative 340B estimate used in the brief.</t>
  </si>
  <si>
    <t>Denial drag rate</t>
  </si>
  <si>
    <t>Applied to total billed revenue in the operating model.</t>
  </si>
  <si>
    <t>Days to payment</t>
  </si>
  <si>
    <t>days</t>
  </si>
  <si>
    <t>Used to estimate cash carrying cost.</t>
  </si>
  <si>
    <t>Annual carrying cost rate</t>
  </si>
  <si>
    <t>Used to estimate working-capital cost on drug acquisition.</t>
  </si>
  <si>
    <t>Operating inputs</t>
  </si>
  <si>
    <t>Procedure revenue per administration</t>
  </si>
  <si>
    <t>Procedure revenue assumption from the brief.</t>
  </si>
  <si>
    <t>Physician hours per dose</t>
  </si>
  <si>
    <t>hours</t>
  </si>
  <si>
    <t>Time assumption used for the labor cost proxy.</t>
  </si>
  <si>
    <t>Physician hourly wage</t>
  </si>
  <si>
    <t>$ / hour</t>
  </si>
  <si>
    <t>BLS pediatrician mean hourly wage used in the brief.</t>
  </si>
  <si>
    <t>Nurse hours per dose</t>
  </si>
  <si>
    <t>Nurse hourly wage</t>
  </si>
  <si>
    <t>BLS registered nurse compensation proxy used in the brief.</t>
  </si>
  <si>
    <t>Commercial payer mix</t>
  </si>
  <si>
    <t>Internal mix assumption mentioned in the brief.</t>
  </si>
  <si>
    <t>Medicaid payer mix</t>
  </si>
  <si>
    <t>Derived values</t>
  </si>
  <si>
    <t>15% reference price</t>
  </si>
  <si>
    <t>WAC less 15%.</t>
  </si>
  <si>
    <t>20% reference price</t>
  </si>
  <si>
    <t>WAC less 20%.</t>
  </si>
  <si>
    <t>30% reference price</t>
  </si>
  <si>
    <t>WAC less 30%.</t>
  </si>
  <si>
    <t>Medicare benchmark price</t>
  </si>
  <si>
    <t>WAC at 103% of sales benchmark.</t>
  </si>
  <si>
    <t>340B new-drug estimate</t>
  </si>
  <si>
    <t>WAC less 23.1%.</t>
  </si>
  <si>
    <t>340B pediatric estimate</t>
  </si>
  <si>
    <t>WAC less 17.1%.</t>
  </si>
  <si>
    <t>Annual gross WAC</t>
  </si>
  <si>
    <t>$ / year</t>
  </si>
  <si>
    <t>Acquisition cost before any reimbursement.</t>
  </si>
  <si>
    <t>Labor cost per dose</t>
  </si>
  <si>
    <t>Physician plus nurse time proxy.</t>
  </si>
  <si>
    <t>Denial drag per dose</t>
  </si>
  <si>
    <t>0.5% of total billed revenue.</t>
  </si>
  <si>
    <t>Payment speed cost per dose</t>
  </si>
  <si>
    <t>Working-capital cost on WAC.</t>
  </si>
  <si>
    <t>5% support per dose</t>
  </si>
  <si>
    <t>Manufacturer support at 5% of WAC.</t>
  </si>
  <si>
    <t>10% support per dose</t>
  </si>
  <si>
    <t>Manufacturer support at 10% of WAC.</t>
  </si>
  <si>
    <t>340B spread vs Medicare benchmark</t>
  </si>
  <si>
    <t>Drug payment benchmark minus new-drug 340B estimate.</t>
  </si>
  <si>
    <t>340B annual spread</t>
  </si>
  <si>
    <t>Annualized 340B spread at 26 doses.</t>
  </si>
  <si>
    <t>Drug Economics Model</t>
  </si>
  <si>
    <t>This sheet reproduces the scenario table in the brief and adds a small 340B estimate box.</t>
  </si>
  <si>
    <t>Scenario table</t>
  </si>
  <si>
    <t>Scenario</t>
  </si>
  <si>
    <t>Acquisition cost per dose</t>
  </si>
  <si>
    <t>15% ref / dose</t>
  </si>
  <si>
    <t>20% ref / dose</t>
  </si>
  <si>
    <t>30% ref / dose</t>
  </si>
  <si>
    <t>Drug payment benchmark per dose</t>
  </si>
  <si>
    <t>Gross drug spread per dose</t>
  </si>
  <si>
    <t>Annualized spread at 26 doses</t>
  </si>
  <si>
    <t>Interpretation</t>
  </si>
  <si>
    <t>Commercial buy-and-bill at 100% of WAC</t>
  </si>
  <si>
    <t>Provider economics depend on procedure revenue, denial performance, and payment speed.</t>
  </si>
  <si>
    <t>Medicare Part B initial sales benchmark at 103% of WAC</t>
  </si>
  <si>
    <t>Public benchmark spread is thin before administration and rework cost are applied.</t>
  </si>
  <si>
    <t>340B covered entity using the same 103% benchmark</t>
  </si>
  <si>
    <t>340B changes provider economics immediately and materially.</t>
  </si>
  <si>
    <t>Commercial white-bagging</t>
  </si>
  <si>
    <t>The specialty pharmacy bills the plan directly, and the provider loses drug spread while retaining operational work.</t>
  </si>
  <si>
    <t>340B estimate box</t>
  </si>
  <si>
    <t>Measure</t>
  </si>
  <si>
    <t>Per dose</t>
  </si>
  <si>
    <t>Discount vs WAC</t>
  </si>
  <si>
    <t>WAC</t>
  </si>
  <si>
    <t>Operating Margin Model</t>
  </si>
  <si>
    <t>The base model keeps the acquisition/payment offset implicit and focuses on support, labor, denial, and cash timing.</t>
  </si>
  <si>
    <t>Base operating margin scenarios</t>
  </si>
  <si>
    <t>Procedure rev / dose</t>
  </si>
  <si>
    <t>Physician + nurse time / dose</t>
  </si>
  <si>
    <t>Denial drag / dose</t>
  </si>
  <si>
    <t>Manufacturer support / dose</t>
  </si>
  <si>
    <t>Net op margin / dose</t>
  </si>
  <si>
    <t>Annualized at 26 doses</t>
  </si>
  <si>
    <t>Commercial buy-and-bill, no extra support</t>
  </si>
  <si>
    <t>Commercial buy-and-bill + 5.0% manufacturer discount or equivalent rebate</t>
  </si>
  <si>
    <t>Commercial buy-and-bill + 10.0% manufacturer discount or equivalent rebate</t>
  </si>
  <si>
    <t>Note: the support scenarios follow the brief. Drug spread is shown separately on DrugModel because, in the base buy-and-bill scenarios, acquisition cost and reimbursement offset each other.</t>
  </si>
  <si>
    <t>Cash exposure summary</t>
  </si>
  <si>
    <t>Formula / basis</t>
  </si>
  <si>
    <t>Annualized</t>
  </si>
  <si>
    <t>Annual acquisition outlay at WAC</t>
  </si>
  <si>
    <t>WAC x doses</t>
  </si>
  <si>
    <t>Annual reimbursement at Medicare benchmark</t>
  </si>
  <si>
    <t>103% of WAC x doses</t>
  </si>
  <si>
    <t>Annual 340B spread</t>
  </si>
  <si>
    <t>Benchmark less 340B estimate x doses</t>
  </si>
  <si>
    <t>Support, Delay, and Revenue Sensitivity</t>
  </si>
  <si>
    <t>The first table shows support sensitivity; the added sections below test payment delay and procedure revenue.</t>
  </si>
  <si>
    <t>Base operating margin remains the anchor; the new tables isolate one variable at a time.</t>
  </si>
  <si>
    <t>Support %</t>
  </si>
  <si>
    <t>Comment</t>
  </si>
  <si>
    <t>Base scenario</t>
  </si>
  <si>
    <t>Interpolated sensitivity</t>
  </si>
  <si>
    <t>Brief scenario</t>
  </si>
  <si>
    <t>Payment delay sensitivity</t>
  </si>
  <si>
    <t>Delay (days)</t>
  </si>
  <si>
    <t>Higher delay raises working-capital drag</t>
  </si>
  <si>
    <t>Procedure revenue sensitivity</t>
  </si>
  <si>
    <t>Higher revenue can offset fixed friction</t>
  </si>
  <si>
    <t>Source Index</t>
  </si>
  <si>
    <t>Plain-text URLs used to ground the model assumptions.</t>
  </si>
  <si>
    <t>Official and cited sources</t>
  </si>
  <si>
    <t>Topic</t>
  </si>
  <si>
    <t>URL</t>
  </si>
  <si>
    <t>Used for</t>
  </si>
  <si>
    <t>CMS Part B drug payment limits overview</t>
  </si>
  <si>
    <t>https://www.cms.gov/files/document/part-b-drug-payment-limits-overview.pdf-0</t>
  </si>
  <si>
    <t>Medicare benchmark context</t>
  </si>
  <si>
    <t>CMS HCPCS Level II coding procedures</t>
  </si>
  <si>
    <t>https://www.cms.gov/medicare/coding-billing/healthcare-common-procedure-system/level-ii-coding-process</t>
  </si>
  <si>
    <t>HCPCS and coding logic</t>
  </si>
  <si>
    <t>CMS pass-through payment status and NTAP APC assignment</t>
  </si>
  <si>
    <t>https://www.cms.gov/medicare/payment/prospective-payment-systems/hospital-outpatient/pass-through-payment-status-new-technology-ambulatory-payment-classification-apc</t>
  </si>
  <si>
    <t>OPPS pass-through timing</t>
  </si>
  <si>
    <t>CMS OPPS overview and payment policy guide</t>
  </si>
  <si>
    <t>https://www.cms.gov/cms-guide-medical-technology-companies-and-other-interested-parties/payment/opps</t>
  </si>
  <si>
    <t>Hospital outpatient payment mechanics</t>
  </si>
  <si>
    <t>CMS pass-through submission requirements</t>
  </si>
  <si>
    <t>https://www.cms.gov/files/document/determine-eligibility-drugs-biologicals-transitional-pass-through-payment-under-hospital-outpatient.pdf</t>
  </si>
  <si>
    <t>Pass-through submission requirements</t>
  </si>
  <si>
    <t>HRSA 340B ceiling price FAQ</t>
  </si>
  <si>
    <t>https://www.hrsa.gov/about/faqs/how-340b-ceiling-price-calculated</t>
  </si>
  <si>
    <t>340B pricing rules</t>
  </si>
  <si>
    <t>HRSA new drug price estimation</t>
  </si>
  <si>
    <t>https://340bpricingsubmissions.hrsa.gov/Help/Manufacturer/Pricing%20Formulas/New%20Drug%20Price%20Estimation.htm</t>
  </si>
  <si>
    <t>New-drug 340B estimate</t>
  </si>
  <si>
    <t>HRSA duplicate discount prohibition</t>
  </si>
  <si>
    <t>https://www.hrsa.gov/opa/program-requirements/medicaid-exclusion</t>
  </si>
  <si>
    <t>Medicaid carve-in / carve-out rules</t>
  </si>
  <si>
    <t>Medicaid.gov Physician Administered Drugs</t>
  </si>
  <si>
    <t>https://www.medicaid.gov/medicaid/prescription-drugs/state-prescription-drug-resources/physician-administered-drugs-pad</t>
  </si>
  <si>
    <t>PAD billing logic</t>
  </si>
  <si>
    <t>Medicaid.gov EPSDT</t>
  </si>
  <si>
    <t>https://www.medicaid.gov/medicaid/benefits/early-and-periodic-screening-diagnostic-and-treatment</t>
  </si>
  <si>
    <t>EPSDT coverage logic</t>
  </si>
  <si>
    <t>Colorado Medicaid state plan</t>
  </si>
  <si>
    <t>https://hcpf.colorado.gov/sites/hcpf/files/4_19_B-Methods%20and%20Standards%20for%20Establishing%20Payment%20Rates-Other%20Types%20of%20Care.pdf</t>
  </si>
  <si>
    <t>State reimbursement example</t>
  </si>
  <si>
    <t>Pennsylvania Medicaid state plan</t>
  </si>
  <si>
    <t>https://www.pa.gov/content/dam/copapwp-pagov/en/dhs/documents/docs/publications/documents/2023-medicaid-state-plan/0025-Attachment-4.19B.pdf</t>
  </si>
  <si>
    <t>BLS pediatricians wage data</t>
  </si>
  <si>
    <t>https://www.bls.gov/oes/2023/May/oes291221.htm</t>
  </si>
  <si>
    <t>Physician labor proxy</t>
  </si>
  <si>
    <t>BLS RN wage article</t>
  </si>
  <si>
    <t>https://www.bls.gov/opub/ted/2025/charting-compensation-costs-during-national-nurses-month.htm</t>
  </si>
  <si>
    <t>Nurse labor proxy</t>
  </si>
  <si>
    <t>Medicare dual eligibility overview</t>
  </si>
  <si>
    <t>https://www.medicare.gov/basics/costs/help/medicaid</t>
  </si>
  <si>
    <t>Dual-eligible wraparound logic</t>
  </si>
  <si>
    <t>UnitedHealthcare site of care policy</t>
  </si>
  <si>
    <t>https://www.uhcprovider.com/content/dam/provider/docs/public/policies/comm-medical-drug/provider-administered-drugs-soc.pdf</t>
  </si>
  <si>
    <t>Site-of-care controls</t>
  </si>
  <si>
    <t>UnitedHealthcare Miplyffa PA policy</t>
  </si>
  <si>
    <t>https://www.uhcprovider.com/content/dam/provider/docs/public/prior-auth/drugs-pharmacy/commercial/h-p/PA-Med-Nec-Miplyffa.pdf</t>
  </si>
  <si>
    <t>Commercial managed access example</t>
  </si>
  <si>
    <t>UnitedHealthcare Aqneursa PA policy</t>
  </si>
  <si>
    <t>https://www.uhcprovider.com/content/dam/provider/docs/public/prior-auth/drugs-pharmacy/commercial/a-g/PA-Med-Nec-Aqneursa.pdf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</si>
</sst>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
    <numFmt numFmtId="166" formatCode="0.0%;[Red]\(0.0%\);\-"/>
    <numFmt numFmtId="167" formatCode="#,##0.0;[Red]\(#,##0.0\);\-"/>
  </numFmts>
  <fonts count="16" x14ac:knownFonts="1">
    <font>
      <sz val="11"/>
      <color theme="1"/>
      <name val="Calibri"/>
      <family val="2"/>
      <scheme val="minor"/>
    </font>
    <font>
      <b/>
      <sz val="18"/>
      <color rgb="FFFFFFFF"/>
      <name val="Calibri"/>
    </font>
    <font>
      <i/>
      <sz val="10"/>
      <color rgb="FFE5ECF5"/>
      <name val="Calibri"/>
    </font>
    <font>
      <b/>
      <sz val="11"/>
      <color rgb="FFFFFFFF"/>
      <name val="Calibri"/>
    </font>
    <font>
      <i/>
      <sz val="11"/>
      <color rgb="FF5B687A"/>
      <name val="Calibri"/>
    </font>
    <font>
      <sz val="11"/>
      <color rgb="FF102030"/>
      <name val="Calibri"/>
    </font>
    <font>
      <b/>
      <u/>
      <sz val="11"/>
      <color rgb="FF2D6CDF"/>
      <name val="Calibri"/>
    </font>
    <font>
      <sz val="11"/>
      <color rgb="FF1F5AA6"/>
      <name val="Calibri"/>
    </font>
    <font>
      <sz val="12"/>
      <color theme="10"/>
      <name val="Calibri"/>
      <family val="2"/>
      <scheme val="minor"/>
    </font>
    <font>
      <b/>
      <sz val="22"/>
      <color rgb="FFFFFFFF"/>
      <name val="Calibri"/>
    </font>
    <font>
      <i/>
      <sz val="11"/>
      <color rgb="FFDCE6F7"/>
      <name val="Calibri"/>
    </font>
    <font>
      <b/>
      <sz val="10"/>
      <color rgb="FFFFFFFF"/>
      <name val="Calibri"/>
    </font>
    <font>
      <b/>
      <sz val="18"/>
      <color rgb="FF143A66"/>
      <name val="Calibri"/>
    </font>
    <font>
      <sz val="9"/>
      <color rgb="FFEDF3FA"/>
      <name val="Calibri"/>
    </font>
    <font>
      <b/>
      <sz val="11"/>
      <color rgb="FFFFFFFF"/>
      <name val="Calibri"/>
    </font>
    <font>
      <b/>
      <sz val="14"/>
      <color rgb="FF102030"/>
      <name val="Calibri"/>
    </font>
  </fonts>
  <fills count="12">
    <fill>
      <patternFill patternType="none"/>
    </fill>
    <fill>
      <patternFill patternType="gray125"/>
    </fill>
    <fill>
      <patternFill patternType="solid">
        <fgColor rgb="FF143A66"/>
      </patternFill>
    </fill>
    <fill>
      <patternFill patternType="solid">
        <fgColor rgb="FFF3F5F7"/>
      </patternFill>
    </fill>
    <fill>
      <patternFill patternType="solid">
        <fgColor rgb="FFFFF4CC"/>
      </patternFill>
    </fill>
    <fill>
      <patternFill patternType="solid">
        <fgColor rgb="FFDCE6F7"/>
      </patternFill>
    </fill>
    <fill>
      <patternFill patternType="solid">
        <fgColor rgb="FF1F5AA6"/>
      </patternFill>
    </fill>
    <fill>
      <patternFill patternType="solid">
        <fgColor rgb="FFE9F6F8"/>
      </patternFill>
    </fill>
    <fill>
      <patternFill patternType="solid">
        <fgColor rgb="FFEEF2F7"/>
      </patternFill>
    </fill>
    <fill>
      <patternFill patternType="solid">
        <fgColor rgb="FFE7EDF8"/>
      </patternFill>
    </fill>
    <fill>
      <patternFill patternType="solid">
        <fgColor rgb="FFEDF7EF"/>
      </patternFill>
    </fill>
    <fill>
      <patternFill patternType="solid">
        <fgColor rgb="FFE5F4EA"/>
      </patternFill>
    </fill>
  </fills>
  <borders count="3">
    <border>
      <left/>
      <right/>
      <top/>
      <bottom/>
      <diagonal/>
    </border>
    <border>
      <left/>
      <right/>
      <top/>
      <bottom style="thin">
        <color rgb="FFD0D7E2"/>
      </bottom>
      <diagonal/>
    </border>
    <border>
      <left/>
      <right/>
      <top style="medium">
        <color rgb="FF143A66"/>
      </top>
      <bottom style="thin">
        <color rgb="FFD0D7E2"/>
      </bottom>
      <diagonal/>
    </border>
  </borders>
  <cellStyleXfs count="2">
    <xf numFmtId="0" fontId="0" fillId="0" borderId="0"/>
    <xf numFmtId="0" fontId="8" fillId="0" borderId="0"/>
  </cellStyleXfs>
  <cellXfs count="45">
    <xf numFmtId="0" fontId="0" fillId="0" borderId="0" xfId="0"/>
    <xf numFmtId="0" fontId="5" fillId="0" borderId="1" xfId="0" applyFont="1" applyBorder="1" applyAlignment="1">
      <alignment vertical="center" wrapText="1"/>
    </xf>
    <xf numFmtId="164" fontId="7" fillId="5" borderId="1" xfId="0" applyNumberFormat="1" applyFont="1" applyFill="1" applyBorder="1" applyAlignment="1">
      <alignment horizontal="right" vertical="center"/>
    </xf>
    <xf numFmtId="0" fontId="4" fillId="0" borderId="1" xfId="0" applyFont="1" applyBorder="1"/>
    <xf numFmtId="0" fontId="4" fillId="0" borderId="1" xfId="0" applyFont="1" applyBorder="1" applyAlignment="1">
      <alignment vertical="center" wrapText="1"/>
    </xf>
    <xf numFmtId="165" fontId="7" fillId="5" borderId="1" xfId="0" applyNumberFormat="1" applyFont="1" applyFill="1" applyBorder="1" applyAlignment="1">
      <alignment horizontal="right" vertical="center"/>
    </xf>
    <xf numFmtId="166" fontId="7" fillId="5" borderId="1" xfId="0" applyNumberFormat="1" applyFont="1" applyFill="1" applyBorder="1" applyAlignment="1">
      <alignment horizontal="right" vertical="center"/>
    </xf>
    <xf numFmtId="167" fontId="7" fillId="5" borderId="1" xfId="0" applyNumberFormat="1" applyFont="1" applyFill="1" applyBorder="1" applyAlignment="1">
      <alignment horizontal="right" vertical="center"/>
    </xf>
    <xf numFmtId="164" fontId="5" fillId="3" borderId="1" xfId="0" applyNumberFormat="1" applyFont="1" applyFill="1" applyBorder="1" applyAlignment="1">
      <alignment horizontal="right" vertical="center"/>
    </xf>
    <xf numFmtId="0" fontId="3" fillId="6" borderId="2"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xf numFmtId="164" fontId="5" fillId="3" borderId="1" xfId="0" applyNumberFormat="1" applyFont="1" applyFill="1" applyBorder="1"/>
    <xf numFmtId="166" fontId="5" fillId="3" borderId="1" xfId="0" applyNumberFormat="1" applyFont="1" applyFill="1" applyBorder="1"/>
    <xf numFmtId="0" fontId="0" fillId="0" borderId="1" xfId="0" applyBorder="1"/>
    <xf numFmtId="166" fontId="7" fillId="5" borderId="1" xfId="0" applyNumberFormat="1" applyFont="1" applyFill="1" applyBorder="1"/>
    <xf numFmtId="0" fontId="8" fillId="0" borderId="1" xfId="1" applyBorder="1" applyAlignment="1">
      <alignment vertical="top" wrapText="1"/>
    </xf>
    <xf numFmtId="1" fontId="7" fillId="5" borderId="1" xfId="0" applyNumberFormat="1" applyFont="1" applyFill="1" applyBorder="1"/>
    <xf numFmtId="164" fontId="7" fillId="5" borderId="1" xfId="0" applyNumberFormat="1" applyFont="1" applyFill="1" applyBorder="1"/>
    <xf numFmtId="0" fontId="5" fillId="0" borderId="0" xfId="0" applyFont="1" applyAlignment="1">
      <alignment horizontal="left" vertical="center"/>
    </xf>
    <xf numFmtId="0" fontId="0" fillId="0" borderId="0" xfId="0"/>
    <xf numFmtId="0" fontId="6" fillId="0" borderId="0" xfId="0" applyFont="1" applyAlignment="1">
      <alignment horizontal="left" vertical="center"/>
    </xf>
    <xf numFmtId="164" fontId="12" fillId="9" borderId="1" xfId="0" applyNumberFormat="1" applyFont="1" applyFill="1" applyBorder="1" applyAlignment="1">
      <alignment horizontal="left" vertical="center"/>
    </xf>
    <xf numFmtId="0" fontId="0" fillId="0" borderId="1" xfId="0" applyBorder="1"/>
    <xf numFmtId="164" fontId="12" fillId="10" borderId="1" xfId="0" applyNumberFormat="1" applyFont="1" applyFill="1" applyBorder="1" applyAlignment="1">
      <alignment horizontal="left" vertical="center"/>
    </xf>
    <xf numFmtId="0" fontId="11" fillId="2" borderId="1" xfId="0" applyFont="1" applyFill="1" applyBorder="1" applyAlignment="1">
      <alignment horizontal="left" vertical="center"/>
    </xf>
    <xf numFmtId="0" fontId="5" fillId="3" borderId="0" xfId="0" applyFont="1" applyFill="1" applyAlignment="1">
      <alignment vertical="top" wrapText="1"/>
    </xf>
    <xf numFmtId="0" fontId="9" fillId="2" borderId="0" xfId="0" applyFont="1" applyFill="1" applyAlignment="1">
      <alignment horizontal="left" vertical="center"/>
    </xf>
    <xf numFmtId="0" fontId="0" fillId="2" borderId="0" xfId="0" applyFill="1"/>
    <xf numFmtId="0" fontId="13" fillId="10" borderId="1" xfId="0" applyFont="1" applyFill="1" applyBorder="1" applyAlignment="1">
      <alignment horizontal="left" vertical="center" wrapText="1"/>
    </xf>
    <xf numFmtId="0" fontId="3" fillId="6" borderId="0" xfId="0" applyFont="1" applyFill="1" applyAlignment="1">
      <alignment horizontal="left" vertical="center"/>
    </xf>
    <xf numFmtId="0" fontId="13" fillId="9" borderId="1" xfId="0" applyFont="1" applyFill="1" applyBorder="1" applyAlignment="1">
      <alignment horizontal="left" vertical="center" wrapText="1"/>
    </xf>
    <xf numFmtId="164" fontId="15" fillId="5" borderId="0" xfId="0" applyNumberFormat="1" applyFont="1" applyFill="1" applyAlignment="1">
      <alignment horizontal="left" vertical="center"/>
    </xf>
    <xf numFmtId="164" fontId="15" fillId="11" borderId="0" xfId="0" applyNumberFormat="1" applyFont="1" applyFill="1" applyAlignment="1">
      <alignment horizontal="left" vertical="center"/>
    </xf>
    <xf numFmtId="0" fontId="14" fillId="2" borderId="0" xfId="0" applyFont="1" applyFill="1" applyAlignment="1">
      <alignment horizontal="left" vertical="center"/>
    </xf>
    <xf numFmtId="0" fontId="10" fillId="2" borderId="0" xfId="0" applyFont="1" applyFill="1" applyAlignment="1">
      <alignment horizontal="left" vertical="center"/>
    </xf>
    <xf numFmtId="164" fontId="12" fillId="8" borderId="1" xfId="0" applyNumberFormat="1" applyFont="1" applyFill="1" applyBorder="1" applyAlignment="1">
      <alignment horizontal="left" vertical="center"/>
    </xf>
    <xf numFmtId="0" fontId="10" fillId="2" borderId="0" xfId="0" applyFont="1" applyFill="1" applyAlignment="1">
      <alignment horizontal="left" vertical="center" wrapText="1"/>
    </xf>
    <xf numFmtId="0" fontId="13"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164" fontId="12" fillId="7" borderId="1" xfId="0" applyNumberFormat="1" applyFont="1" applyFill="1" applyBorder="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horizontal="left" vertical="center"/>
    </xf>
    <xf numFmtId="0" fontId="2" fillId="2" borderId="0" xfId="0" applyFont="1" applyFill="1" applyAlignment="1">
      <alignment horizontal="left" vertical="center" wrapText="1"/>
    </xf>
    <xf numFmtId="0" fontId="4" fillId="4" borderId="0" xfId="0" applyFont="1" applyFill="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autoTitleDeleted val="1"/>
    <c:plotArea>
      <c:layout/>
      <c:barChart>
        <c:barDir val="bar"/>
        <c:grouping val="clustered"/>
        <c:varyColors val="1"/>
        <c:ser>
          <c:idx val="0"/>
          <c:order val="0"/>
          <c:tx>
            <c:strRef>
              <c:f>DrugModel!$H$5</c:f>
              <c:strCache>
                <c:ptCount val="1"/>
                <c:pt idx="0">
                  <c:v>Annualized spread at 26 doses</c:v>
                </c:pt>
              </c:strCache>
            </c:strRef>
          </c:tx>
          <c:spPr>
            <a:ln>
              <a:prstDash val="solid"/>
            </a:ln>
          </c:spPr>
          <c:invertIfNegative val="1"/>
          <c:cat>
            <c:strRef>
              <c:f>DrugModel!$A$6:$A$9</c:f>
              <c:strCache>
                <c:ptCount val="4"/>
                <c:pt idx="0">
                  <c:v>Commercial buy-and-bill at 100% of WAC</c:v>
                </c:pt>
                <c:pt idx="1">
                  <c:v>Medicare Part B initial sales benchmark at 103% of WAC</c:v>
                </c:pt>
                <c:pt idx="2">
                  <c:v>340B covered entity using the same 103% benchmark</c:v>
                </c:pt>
                <c:pt idx="3">
                  <c:v>Commercial white-bagging</c:v>
                </c:pt>
              </c:strCache>
            </c:strRef>
          </c:cat>
          <c:val>
            <c:numRef>
              <c:f>DrugModel!$H$6:$H$9</c:f>
              <c:numCache>
                <c:formatCode>\$#,##0;[Red]\(\$#,##0\);\-</c:formatCode>
                <c:ptCount val="4"/>
                <c:pt idx="0">
                  <c:v>0</c:v>
                </c:pt>
                <c:pt idx="1">
                  <c:v>30420</c:v>
                </c:pt>
                <c:pt idx="2">
                  <c:v>264654</c:v>
                </c:pt>
                <c:pt idx="3">
                  <c:v>0</c:v>
                </c:pt>
              </c:numCache>
            </c:numRef>
          </c:val>
          <c:extLst>
            <c:ext xmlns:c16="http://schemas.microsoft.com/office/drawing/2014/chart" uri="{C3380CC4-5D6E-409C-BE32-E72D297353CC}">
              <c16:uniqueId val="{00000000-8DD1-B349-A432-1A30EB35F88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 /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Annualized spread by scenario</a:t>
            </a:r>
          </a:p>
        </c:rich>
      </c:tx>
      <c:overlay val="1"/>
    </c:title>
    <c:autoTitleDeleted val="0"/>
    <c:plotArea>
      <c:layout/>
      <c:barChart>
        <c:barDir val="bar"/>
        <c:grouping val="clustered"/>
        <c:varyColors val="1"/>
        <c:ser>
          <c:idx val="0"/>
          <c:order val="0"/>
          <c:tx>
            <c:strRef>
              <c:f>DrugModel!$H$5</c:f>
              <c:strCache>
                <c:ptCount val="1"/>
                <c:pt idx="0">
                  <c:v>Annualized spread at 26 doses</c:v>
                </c:pt>
              </c:strCache>
            </c:strRef>
          </c:tx>
          <c:spPr>
            <a:ln>
              <a:prstDash val="solid"/>
            </a:ln>
          </c:spPr>
          <c:invertIfNegative val="1"/>
          <c:cat>
            <c:strRef>
              <c:f>DrugModel!$A$6:$A$9</c:f>
              <c:strCache>
                <c:ptCount val="4"/>
                <c:pt idx="0">
                  <c:v>Commercial buy-and-bill at 100% of WAC</c:v>
                </c:pt>
                <c:pt idx="1">
                  <c:v>Medicare Part B initial sales benchmark at 103% of WAC</c:v>
                </c:pt>
                <c:pt idx="2">
                  <c:v>340B covered entity using the same 103% benchmark</c:v>
                </c:pt>
                <c:pt idx="3">
                  <c:v>Commercial white-bagging</c:v>
                </c:pt>
              </c:strCache>
            </c:strRef>
          </c:cat>
          <c:val>
            <c:numRef>
              <c:f>DrugModel!$H$6:$H$9</c:f>
              <c:numCache>
                <c:formatCode>\$#,##0;[Red]\(\$#,##0\);\-</c:formatCode>
                <c:ptCount val="4"/>
                <c:pt idx="0">
                  <c:v>0</c:v>
                </c:pt>
                <c:pt idx="1">
                  <c:v>30420</c:v>
                </c:pt>
                <c:pt idx="2">
                  <c:v>264654</c:v>
                </c:pt>
                <c:pt idx="3">
                  <c:v>0</c:v>
                </c:pt>
              </c:numCache>
            </c:numRef>
          </c:val>
          <c:extLst>
            <c:ext xmlns:c16="http://schemas.microsoft.com/office/drawing/2014/chart" uri="{C3380CC4-5D6E-409C-BE32-E72D297353CC}">
              <c16:uniqueId val="{00000000-FF90-7D47-88F6-7C57312EE0E9}"/>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 /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Scenario</a:t>
                </a:r>
              </a:p>
            </c:rich>
          </c:tx>
          <c:overlay val="1"/>
        </c:title>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Annualized operating margin</a:t>
            </a:r>
          </a:p>
        </c:rich>
      </c:tx>
      <c:overlay val="1"/>
    </c:title>
    <c:autoTitleDeleted val="0"/>
    <c:plotArea>
      <c:layout/>
      <c:barChart>
        <c:barDir val="col"/>
        <c:grouping val="clustered"/>
        <c:varyColors val="1"/>
        <c:ser>
          <c:idx val="0"/>
          <c:order val="0"/>
          <c:tx>
            <c:strRef>
              <c:f>OpMargin!$H$5</c:f>
              <c:strCache>
                <c:ptCount val="1"/>
                <c:pt idx="0">
                  <c:v>Annualized at 26 doses</c:v>
                </c:pt>
              </c:strCache>
            </c:strRef>
          </c:tx>
          <c:spPr>
            <a:ln>
              <a:prstDash val="solid"/>
            </a:ln>
          </c:spPr>
          <c:invertIfNegative val="1"/>
          <c:cat>
            <c:strRef>
              <c:f>OpMargin!$A$6:$A$8</c:f>
              <c:strCache>
                <c:ptCount val="3"/>
                <c:pt idx="0">
                  <c:v>Commercial buy-and-bill, no extra support</c:v>
                </c:pt>
                <c:pt idx="1">
                  <c:v>Commercial buy-and-bill + 5.0% manufacturer discount or equivalent rebate</c:v>
                </c:pt>
                <c:pt idx="2">
                  <c:v>Commercial buy-and-bill + 10.0% manufacturer discount or equivalent rebate</c:v>
                </c:pt>
              </c:strCache>
            </c:strRef>
          </c:cat>
          <c:val>
            <c:numRef>
              <c:f>OpMargin!$H$6:$H$8</c:f>
              <c:numCache>
                <c:formatCode>\$#,##0;[Red]\(\$#,##0\);\-</c:formatCode>
                <c:ptCount val="3"/>
                <c:pt idx="0">
                  <c:v>-2801.5008904109577</c:v>
                </c:pt>
                <c:pt idx="1">
                  <c:v>47898.499109589044</c:v>
                </c:pt>
                <c:pt idx="2">
                  <c:v>98598.499109589029</c:v>
                </c:pt>
              </c:numCache>
            </c:numRef>
          </c:val>
          <c:extLst>
            <c:ext xmlns:c16="http://schemas.microsoft.com/office/drawing/2014/chart" uri="{C3380CC4-5D6E-409C-BE32-E72D297353CC}">
              <c16:uniqueId val="{00000000-0AB3-3047-AA18-0A7C4E57DEA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Scenario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 year</a:t>
                </a:r>
              </a:p>
            </c:rich>
          </c:tx>
          <c:overlay val="1"/>
        </c:title>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Net op margin by support percentage</a:t>
            </a:r>
          </a:p>
        </c:rich>
      </c:tx>
      <c:overlay val="1"/>
    </c:title>
    <c:autoTitleDeleted val="0"/>
    <c:plotArea>
      <c:layout/>
      <c:barChart>
        <c:barDir val="col"/>
        <c:grouping val="clustered"/>
        <c:varyColors val="1"/>
        <c:ser>
          <c:idx val="0"/>
          <c:order val="0"/>
          <c:tx>
            <c:strRef>
              <c:f>Sensitivity!$C$5</c:f>
              <c:strCache>
                <c:ptCount val="1"/>
                <c:pt idx="0">
                  <c:v>Net op margin / dose</c:v>
                </c:pt>
              </c:strCache>
            </c:strRef>
          </c:tx>
          <c:spPr>
            <a:ln>
              <a:prstDash val="solid"/>
            </a:ln>
          </c:spPr>
          <c:invertIfNegative val="1"/>
          <c:cat>
            <c:numRef>
              <c:f>Sensitivity!$A$6:$A$16</c:f>
              <c:numCache>
                <c:formatCode>0.0%;[Red]\(0.0%\);\-</c:formatCode>
                <c:ptCount val="11"/>
                <c:pt idx="0">
                  <c:v>0</c:v>
                </c:pt>
                <c:pt idx="1">
                  <c:v>0.01</c:v>
                </c:pt>
                <c:pt idx="2">
                  <c:v>0.02</c:v>
                </c:pt>
                <c:pt idx="3">
                  <c:v>0.03</c:v>
                </c:pt>
                <c:pt idx="4">
                  <c:v>0.04</c:v>
                </c:pt>
                <c:pt idx="5">
                  <c:v>0.05</c:v>
                </c:pt>
                <c:pt idx="6">
                  <c:v>0.06</c:v>
                </c:pt>
                <c:pt idx="7">
                  <c:v>7.0000000000000007E-2</c:v>
                </c:pt>
                <c:pt idx="8">
                  <c:v>0.08</c:v>
                </c:pt>
                <c:pt idx="9">
                  <c:v>0.09</c:v>
                </c:pt>
                <c:pt idx="10">
                  <c:v>0.1</c:v>
                </c:pt>
              </c:numCache>
            </c:numRef>
          </c:cat>
          <c:val>
            <c:numRef>
              <c:f>Sensitivity!$C$6:$C$16</c:f>
              <c:numCache>
                <c:formatCode>\$#,##0;[Red]\(\$#,##0\);\-</c:formatCode>
                <c:ptCount val="11"/>
                <c:pt idx="0">
                  <c:v>-107.7500342465753</c:v>
                </c:pt>
                <c:pt idx="1">
                  <c:v>282.2499657534247</c:v>
                </c:pt>
                <c:pt idx="2">
                  <c:v>672.2499657534247</c:v>
                </c:pt>
                <c:pt idx="3">
                  <c:v>1062.2499657534247</c:v>
                </c:pt>
                <c:pt idx="4">
                  <c:v>1452.2499657534247</c:v>
                </c:pt>
                <c:pt idx="5">
                  <c:v>1842.2499657534247</c:v>
                </c:pt>
                <c:pt idx="6">
                  <c:v>2232.2499657534245</c:v>
                </c:pt>
                <c:pt idx="7">
                  <c:v>2622.2499657534254</c:v>
                </c:pt>
                <c:pt idx="8">
                  <c:v>3012.2499657534245</c:v>
                </c:pt>
                <c:pt idx="9">
                  <c:v>3402.2499657534245</c:v>
                </c:pt>
                <c:pt idx="10">
                  <c:v>3792.2499657534245</c:v>
                </c:pt>
              </c:numCache>
            </c:numRef>
          </c:val>
          <c:extLst>
            <c:ext xmlns:c16="http://schemas.microsoft.com/office/drawing/2014/chart" uri="{C3380CC4-5D6E-409C-BE32-E72D297353CC}">
              <c16:uniqueId val="{00000000-7AAF-9F4D-BD2A-42653BF30DC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Support %</a:t>
                </a:r>
              </a:p>
            </c:rich>
          </c:tx>
          <c:overlay val="1"/>
        </c:title>
        <c:numFmt formatCode="0.0%;[Red]\(0.0%\);\-"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 dose</a:t>
                </a:r>
              </a:p>
            </c:rich>
          </c:tx>
          <c:overlay val="1"/>
        </c:title>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Net op margin by payment delay</a:t>
            </a:r>
          </a:p>
        </c:rich>
      </c:tx>
      <c:overlay val="1"/>
    </c:title>
    <c:autoTitleDeleted val="0"/>
    <c:plotArea>
      <c:layout/>
      <c:barChart>
        <c:barDir val="col"/>
        <c:grouping val="clustered"/>
        <c:varyColors val="1"/>
        <c:ser>
          <c:idx val="0"/>
          <c:order val="0"/>
          <c:tx>
            <c:strRef>
              <c:f>Sensitivity!$C$20</c:f>
              <c:strCache>
                <c:ptCount val="1"/>
                <c:pt idx="0">
                  <c:v>Net op margin / dose</c:v>
                </c:pt>
              </c:strCache>
            </c:strRef>
          </c:tx>
          <c:spPr>
            <a:ln>
              <a:prstDash val="solid"/>
            </a:ln>
          </c:spPr>
          <c:invertIfNegative val="1"/>
          <c:cat>
            <c:numRef>
              <c:f>Sensitivity!$A$21:$A$27</c:f>
              <c:numCache>
                <c:formatCode>0</c:formatCode>
                <c:ptCount val="7"/>
                <c:pt idx="0">
                  <c:v>0</c:v>
                </c:pt>
                <c:pt idx="1">
                  <c:v>15</c:v>
                </c:pt>
                <c:pt idx="2">
                  <c:v>30</c:v>
                </c:pt>
                <c:pt idx="3">
                  <c:v>45</c:v>
                </c:pt>
                <c:pt idx="4">
                  <c:v>60</c:v>
                </c:pt>
                <c:pt idx="5">
                  <c:v>75</c:v>
                </c:pt>
                <c:pt idx="6">
                  <c:v>90</c:v>
                </c:pt>
              </c:numCache>
            </c:numRef>
          </c:cat>
          <c:val>
            <c:numRef>
              <c:f>Sensitivity!$C$21:$C$27</c:f>
              <c:numCache>
                <c:formatCode>\$#,##0;[Red]\(\$#,##0\);\-</c:formatCode>
                <c:ptCount val="7"/>
                <c:pt idx="0">
                  <c:v>276.90750000000003</c:v>
                </c:pt>
                <c:pt idx="1">
                  <c:v>148.68832191780825</c:v>
                </c:pt>
                <c:pt idx="2">
                  <c:v>20.469143835616478</c:v>
                </c:pt>
                <c:pt idx="3">
                  <c:v>-107.7500342465753</c:v>
                </c:pt>
                <c:pt idx="4">
                  <c:v>-235.96921232876707</c:v>
                </c:pt>
                <c:pt idx="5">
                  <c:v>-364.18839041095885</c:v>
                </c:pt>
                <c:pt idx="6">
                  <c:v>-492.40756849315062</c:v>
                </c:pt>
              </c:numCache>
            </c:numRef>
          </c:val>
          <c:extLst>
            <c:ext xmlns:c16="http://schemas.microsoft.com/office/drawing/2014/chart" uri="{C3380CC4-5D6E-409C-BE32-E72D297353CC}">
              <c16:uniqueId val="{00000000-55F4-924A-8325-DA45D66A4E9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Days to payment</a:t>
                </a:r>
              </a:p>
            </c:rich>
          </c:tx>
          <c:overlay val="1"/>
        </c:title>
        <c:numFmt formatCode="0"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 dose</a:t>
                </a:r>
              </a:p>
            </c:rich>
          </c:tx>
          <c:overlay val="1"/>
        </c:title>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Net op margin by procedure revenue</a:t>
            </a:r>
          </a:p>
        </c:rich>
      </c:tx>
      <c:overlay val="1"/>
    </c:title>
    <c:autoTitleDeleted val="0"/>
    <c:plotArea>
      <c:layout/>
      <c:barChart>
        <c:barDir val="col"/>
        <c:grouping val="clustered"/>
        <c:varyColors val="1"/>
        <c:ser>
          <c:idx val="0"/>
          <c:order val="0"/>
          <c:tx>
            <c:strRef>
              <c:f>Sensitivity!$B$31</c:f>
              <c:strCache>
                <c:ptCount val="1"/>
                <c:pt idx="0">
                  <c:v>Net op margin / dose</c:v>
                </c:pt>
              </c:strCache>
            </c:strRef>
          </c:tx>
          <c:spPr>
            <a:ln>
              <a:prstDash val="solid"/>
            </a:ln>
          </c:spPr>
          <c:invertIfNegative val="1"/>
          <c:cat>
            <c:numRef>
              <c:f>Sensitivity!$A$32:$A$37</c:f>
              <c:numCache>
                <c:formatCode>\$#,##0;[Red]\(\$#,##0\);\-</c:formatCode>
                <c:ptCount val="6"/>
                <c:pt idx="0">
                  <c:v>500</c:v>
                </c:pt>
                <c:pt idx="1">
                  <c:v>650</c:v>
                </c:pt>
                <c:pt idx="2">
                  <c:v>750</c:v>
                </c:pt>
                <c:pt idx="3">
                  <c:v>850</c:v>
                </c:pt>
                <c:pt idx="4">
                  <c:v>1000</c:v>
                </c:pt>
                <c:pt idx="5">
                  <c:v>1200</c:v>
                </c:pt>
              </c:numCache>
            </c:numRef>
          </c:cat>
          <c:val>
            <c:numRef>
              <c:f>Sensitivity!$B$32:$B$37</c:f>
              <c:numCache>
                <c:formatCode>\$#,##0;[Red]\(\$#,##0\);\-</c:formatCode>
                <c:ptCount val="6"/>
                <c:pt idx="0">
                  <c:v>-357.7500342465753</c:v>
                </c:pt>
                <c:pt idx="1">
                  <c:v>-207.7500342465753</c:v>
                </c:pt>
                <c:pt idx="2">
                  <c:v>-107.7500342465753</c:v>
                </c:pt>
                <c:pt idx="3">
                  <c:v>-7.7500342465752965</c:v>
                </c:pt>
                <c:pt idx="4">
                  <c:v>142.2499657534247</c:v>
                </c:pt>
                <c:pt idx="5">
                  <c:v>342.2499657534247</c:v>
                </c:pt>
              </c:numCache>
            </c:numRef>
          </c:val>
          <c:extLst>
            <c:ext xmlns:c16="http://schemas.microsoft.com/office/drawing/2014/chart" uri="{C3380CC4-5D6E-409C-BE32-E72D297353CC}">
              <c16:uniqueId val="{00000000-B3DB-3B49-A01A-96143763478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Procedure revenue / dose</a:t>
                </a:r>
              </a:p>
            </c:rich>
          </c:tx>
          <c:overlay val="1"/>
        </c:title>
        <c:numFmt formatCode="\$#,##0;[Red]\(\$#,##0\);\-"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 dose</a:t>
                </a:r>
              </a:p>
            </c:rich>
          </c:tx>
          <c:overlay val="1"/>
        </c:title>
        <c:numFmt formatCode="\$#,##0;[Red]\(\$#,##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32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4</xdr:row>
      <xdr:rowOff>0</xdr:rowOff>
    </xdr:from>
    <xdr:ext cx="432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4</xdr:row>
      <xdr:rowOff>0</xdr:rowOff>
    </xdr:from>
    <xdr:ext cx="432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6</xdr:col>
      <xdr:colOff>0</xdr:colOff>
      <xdr:row>4</xdr:row>
      <xdr:rowOff>0</xdr:rowOff>
    </xdr:from>
    <xdr:ext cx="4320000" cy="25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18</xdr:row>
      <xdr:rowOff>0</xdr:rowOff>
    </xdr:from>
    <xdr:ext cx="3600000" cy="25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29</xdr:row>
      <xdr:rowOff>0</xdr:rowOff>
    </xdr:from>
    <xdr:ext cx="3600000" cy="252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hrsa.gov/opa/program-requirements/medicaid-exclusion" TargetMode="External"/><Relationship Id="rId13" Type="http://schemas.openxmlformats.org/officeDocument/2006/relationships/hyperlink" Target="https://www.bls.gov/oes/2023/May/oes291221.htm" TargetMode="External"/><Relationship Id="rId18" Type="http://schemas.openxmlformats.org/officeDocument/2006/relationships/hyperlink" Target="https://www.uhcprovider.com/content/dam/provider/docs/public/prior-auth/drugs-pharmacy/commercial/a-g/PA-Med-Nec-Aqneursa.pdf" TargetMode="External"/><Relationship Id="rId3" Type="http://schemas.openxmlformats.org/officeDocument/2006/relationships/hyperlink" Target="https://www.cms.gov/medicare/payment/prospective-payment-systems/hospital-outpatient/pass-through-payment-status-new-technology-ambulatory-payment-classification-apc" TargetMode="External"/><Relationship Id="rId7" Type="http://schemas.openxmlformats.org/officeDocument/2006/relationships/hyperlink" Target="https://340bpricingsubmissions.hrsa.gov/Help/Manufacturer/Pricing%20Formulas/New%20Drug%20Price%20Estimation.htm" TargetMode="External"/><Relationship Id="rId12" Type="http://schemas.openxmlformats.org/officeDocument/2006/relationships/hyperlink" Target="https://www.pa.gov/content/dam/copapwp-pagov/en/dhs/documents/docs/publications/documents/2023-medicaid-state-plan/0025-Attachment-4.19B.pdf" TargetMode="External"/><Relationship Id="rId17" Type="http://schemas.openxmlformats.org/officeDocument/2006/relationships/hyperlink" Target="https://www.uhcprovider.com/content/dam/provider/docs/public/prior-auth/drugs-pharmacy/commercial/h-p/PA-Med-Nec-Miplyffa.pdf" TargetMode="External"/><Relationship Id="rId2" Type="http://schemas.openxmlformats.org/officeDocument/2006/relationships/hyperlink" Target="https://www.cms.gov/medicare/coding-billing/healthcare-common-procedure-system/level-ii-coding-process" TargetMode="External"/><Relationship Id="rId16" Type="http://schemas.openxmlformats.org/officeDocument/2006/relationships/hyperlink" Target="https://www.uhcprovider.com/content/dam/provider/docs/public/policies/comm-medical-drug/provider-administered-drugs-soc.pdf" TargetMode="External"/><Relationship Id="rId1" Type="http://schemas.openxmlformats.org/officeDocument/2006/relationships/hyperlink" Target="https://www.cms.gov/files/document/part-b-drug-payment-limits-overview.pdf-0" TargetMode="External"/><Relationship Id="rId6" Type="http://schemas.openxmlformats.org/officeDocument/2006/relationships/hyperlink" Target="https://www.hrsa.gov/about/faqs/how-340b-ceiling-price-calculated" TargetMode="External"/><Relationship Id="rId11" Type="http://schemas.openxmlformats.org/officeDocument/2006/relationships/hyperlink" Target="https://hcpf.colorado.gov/sites/hcpf/files/4_19_B-Methods%20and%20Standards%20for%20Establishing%20Payment%20Rates-Other%20Types%20of%20Care.pdf" TargetMode="External"/><Relationship Id="rId5" Type="http://schemas.openxmlformats.org/officeDocument/2006/relationships/hyperlink" Target="https://www.cms.gov/files/document/determine-eligibility-drugs-biologicals-transitional-pass-through-payment-under-hospital-outpatient.pdf" TargetMode="External"/><Relationship Id="rId15" Type="http://schemas.openxmlformats.org/officeDocument/2006/relationships/hyperlink" Target="https://www.medicare.gov/basics/costs/help/medicaid" TargetMode="External"/><Relationship Id="rId10" Type="http://schemas.openxmlformats.org/officeDocument/2006/relationships/hyperlink" Target="https://www.medicaid.gov/medicaid/benefits/early-and-periodic-screening-diagnostic-and-treatment" TargetMode="External"/><Relationship Id="rId4" Type="http://schemas.openxmlformats.org/officeDocument/2006/relationships/hyperlink" Target="https://www.cms.gov/cms-guide-medical-technology-companies-and-other-interested-parties/payment/opps" TargetMode="External"/><Relationship Id="rId9" Type="http://schemas.openxmlformats.org/officeDocument/2006/relationships/hyperlink" Target="https://www.medicaid.gov/medicaid/prescription-drugs/state-prescription-drug-resources/physician-administered-drugs-pad" TargetMode="External"/><Relationship Id="rId14" Type="http://schemas.openxmlformats.org/officeDocument/2006/relationships/hyperlink" Target="https://www.bls.gov/opub/ted/2025/charting-compensation-costs-during-national-nurses-month.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showGridLines="0" zoomScale="90" workbookViewId="0">
      <selection activeCell="A23" sqref="A23:B23"/>
    </sheetView>
  </sheetViews>
  <sheetFormatPr baseColWidth="10" defaultColWidth="8.83203125" defaultRowHeight="15" x14ac:dyDescent="0.2"/>
  <cols>
    <col min="1" max="8" width="16" customWidth="1"/>
    <col min="10" max="12" width="18" customWidth="1"/>
  </cols>
  <sheetData>
    <row r="1" spans="1:12" ht="24" customHeight="1" x14ac:dyDescent="0.2">
      <c r="A1" s="27" t="s">
        <v>0</v>
      </c>
      <c r="B1" s="28"/>
      <c r="C1" s="28"/>
      <c r="D1" s="28"/>
      <c r="E1" s="28"/>
      <c r="F1" s="28"/>
      <c r="G1" s="28"/>
      <c r="H1" s="28"/>
      <c r="J1" s="30" t="s">
        <v>1</v>
      </c>
      <c r="K1" s="20"/>
      <c r="L1" s="20"/>
    </row>
    <row r="2" spans="1:12" ht="20" customHeight="1" x14ac:dyDescent="0.2">
      <c r="A2" s="37" t="s">
        <v>2</v>
      </c>
      <c r="B2" s="28"/>
      <c r="C2" s="28"/>
      <c r="D2" s="28"/>
      <c r="E2" s="28"/>
      <c r="F2" s="28"/>
      <c r="G2" s="28"/>
      <c r="H2" s="28"/>
    </row>
    <row r="3" spans="1:12" ht="20" customHeight="1" x14ac:dyDescent="0.2">
      <c r="A3" s="35" t="s">
        <v>3</v>
      </c>
      <c r="B3" s="28"/>
      <c r="C3" s="28"/>
      <c r="D3" s="28"/>
      <c r="E3" s="28"/>
      <c r="F3" s="28"/>
      <c r="G3" s="28"/>
      <c r="H3" s="28"/>
    </row>
    <row r="5" spans="1:12" x14ac:dyDescent="0.2">
      <c r="A5" s="25" t="s">
        <v>4</v>
      </c>
      <c r="B5" s="23"/>
      <c r="C5" s="25" t="s">
        <v>5</v>
      </c>
      <c r="D5" s="23"/>
      <c r="E5" s="25" t="s">
        <v>6</v>
      </c>
      <c r="F5" s="23"/>
      <c r="G5" s="25" t="s">
        <v>7</v>
      </c>
      <c r="H5" s="23"/>
    </row>
    <row r="6" spans="1:12" x14ac:dyDescent="0.2">
      <c r="A6" s="40">
        <f>Assumptions!B5</f>
        <v>39000</v>
      </c>
      <c r="B6" s="23"/>
      <c r="C6" s="36">
        <f>Assumptions!B36</f>
        <v>29991</v>
      </c>
      <c r="D6" s="23"/>
      <c r="E6" s="22">
        <f>Assumptions!B35</f>
        <v>40170</v>
      </c>
      <c r="F6" s="23"/>
      <c r="G6" s="24">
        <f>OpMargin!B6</f>
        <v>750</v>
      </c>
      <c r="H6" s="23"/>
    </row>
    <row r="7" spans="1:12" x14ac:dyDescent="0.2">
      <c r="A7" s="23"/>
      <c r="B7" s="23"/>
      <c r="C7" s="23"/>
      <c r="D7" s="23"/>
      <c r="E7" s="23"/>
      <c r="F7" s="23"/>
      <c r="G7" s="23"/>
      <c r="H7" s="23"/>
    </row>
    <row r="8" spans="1:12" x14ac:dyDescent="0.2">
      <c r="A8" s="38" t="s">
        <v>8</v>
      </c>
      <c r="B8" s="23"/>
      <c r="C8" s="39" t="s">
        <v>9</v>
      </c>
      <c r="D8" s="23"/>
      <c r="E8" s="31" t="s">
        <v>10</v>
      </c>
      <c r="F8" s="23"/>
      <c r="G8" s="29" t="s">
        <v>11</v>
      </c>
      <c r="H8" s="23"/>
    </row>
    <row r="10" spans="1:12" x14ac:dyDescent="0.2">
      <c r="A10" s="30" t="s">
        <v>12</v>
      </c>
      <c r="B10" s="20"/>
      <c r="C10" s="20"/>
      <c r="D10" s="20"/>
      <c r="E10" s="30" t="s">
        <v>13</v>
      </c>
      <c r="F10" s="20"/>
      <c r="G10" s="20"/>
      <c r="H10" s="20"/>
    </row>
    <row r="11" spans="1:12" x14ac:dyDescent="0.2">
      <c r="A11" s="26" t="s">
        <v>14</v>
      </c>
      <c r="B11" s="20"/>
      <c r="C11" s="20"/>
      <c r="D11" s="20"/>
      <c r="E11" s="26" t="s">
        <v>15</v>
      </c>
      <c r="F11" s="20"/>
      <c r="G11" s="20"/>
      <c r="H11" s="20"/>
    </row>
    <row r="12" spans="1:12" x14ac:dyDescent="0.2">
      <c r="A12" s="20"/>
      <c r="B12" s="20"/>
      <c r="C12" s="20"/>
      <c r="D12" s="20"/>
      <c r="E12" s="20"/>
      <c r="F12" s="20"/>
      <c r="G12" s="20"/>
      <c r="H12" s="20"/>
    </row>
    <row r="13" spans="1:12" x14ac:dyDescent="0.2">
      <c r="A13" s="20"/>
      <c r="B13" s="20"/>
      <c r="C13" s="20"/>
      <c r="D13" s="20"/>
      <c r="E13" s="20"/>
      <c r="F13" s="20"/>
      <c r="G13" s="20"/>
      <c r="H13" s="20"/>
    </row>
    <row r="14" spans="1:12" x14ac:dyDescent="0.2">
      <c r="A14" s="20"/>
      <c r="B14" s="20"/>
      <c r="C14" s="20"/>
      <c r="D14" s="20"/>
      <c r="E14" s="20"/>
      <c r="F14" s="20"/>
      <c r="G14" s="20"/>
      <c r="H14" s="20"/>
    </row>
    <row r="15" spans="1:12" x14ac:dyDescent="0.2">
      <c r="A15" s="20"/>
      <c r="B15" s="20"/>
      <c r="C15" s="20"/>
      <c r="D15" s="20"/>
      <c r="E15" s="20"/>
      <c r="F15" s="20"/>
      <c r="G15" s="20"/>
      <c r="H15" s="20"/>
    </row>
    <row r="16" spans="1:12" x14ac:dyDescent="0.2">
      <c r="A16" s="20"/>
      <c r="B16" s="20"/>
      <c r="C16" s="20"/>
      <c r="D16" s="20"/>
      <c r="E16" s="20"/>
      <c r="F16" s="20"/>
      <c r="G16" s="20"/>
      <c r="H16" s="20"/>
    </row>
    <row r="18" spans="1:8" x14ac:dyDescent="0.2">
      <c r="A18" s="34" t="s">
        <v>16</v>
      </c>
      <c r="B18" s="20"/>
      <c r="C18" s="34" t="s">
        <v>17</v>
      </c>
      <c r="D18" s="20"/>
      <c r="E18" s="34" t="s">
        <v>18</v>
      </c>
      <c r="F18" s="20"/>
      <c r="G18" s="34" t="s">
        <v>19</v>
      </c>
      <c r="H18" s="20"/>
    </row>
    <row r="19" spans="1:8" x14ac:dyDescent="0.2">
      <c r="A19" s="32">
        <f>Assumptions!B38</f>
        <v>1014000</v>
      </c>
      <c r="B19" s="20"/>
      <c r="C19" s="33">
        <f>Assumptions!B45</f>
        <v>264654</v>
      </c>
      <c r="D19" s="20"/>
      <c r="E19" s="32">
        <f>Assumptions!B35-Assumptions!B5</f>
        <v>1170</v>
      </c>
      <c r="F19" s="20"/>
      <c r="G19" s="33">
        <f>Assumptions!B41</f>
        <v>384.65753424657532</v>
      </c>
      <c r="H19" s="20"/>
    </row>
    <row r="20" spans="1:8" x14ac:dyDescent="0.2">
      <c r="A20" s="20"/>
      <c r="B20" s="20"/>
      <c r="C20" s="20"/>
      <c r="D20" s="20"/>
      <c r="E20" s="20"/>
      <c r="F20" s="20"/>
      <c r="G20" s="20"/>
      <c r="H20" s="20"/>
    </row>
    <row r="22" spans="1:8" x14ac:dyDescent="0.2">
      <c r="A22" s="30" t="s">
        <v>20</v>
      </c>
      <c r="B22" s="20"/>
      <c r="C22" s="20"/>
      <c r="D22" s="20"/>
      <c r="E22" s="20"/>
      <c r="F22" s="20"/>
      <c r="G22" s="20"/>
      <c r="H22" s="20"/>
    </row>
    <row r="23" spans="1:8" x14ac:dyDescent="0.2">
      <c r="A23" s="21" t="s">
        <v>21</v>
      </c>
      <c r="B23" s="20"/>
      <c r="C23" s="19" t="s">
        <v>22</v>
      </c>
      <c r="D23" s="20"/>
      <c r="E23" s="20"/>
      <c r="F23" s="20"/>
      <c r="G23" s="20"/>
      <c r="H23" s="20"/>
    </row>
    <row r="24" spans="1:8" x14ac:dyDescent="0.2">
      <c r="A24" s="21" t="s">
        <v>23</v>
      </c>
      <c r="B24" s="20"/>
      <c r="C24" s="19" t="s">
        <v>24</v>
      </c>
      <c r="D24" s="20"/>
      <c r="E24" s="20"/>
      <c r="F24" s="20"/>
      <c r="G24" s="20"/>
      <c r="H24" s="20"/>
    </row>
    <row r="25" spans="1:8" x14ac:dyDescent="0.2">
      <c r="A25" s="21" t="s">
        <v>25</v>
      </c>
      <c r="B25" s="20"/>
      <c r="C25" s="19" t="s">
        <v>26</v>
      </c>
      <c r="D25" s="20"/>
      <c r="E25" s="20"/>
      <c r="F25" s="20"/>
      <c r="G25" s="20"/>
      <c r="H25" s="20"/>
    </row>
    <row r="26" spans="1:8" x14ac:dyDescent="0.2">
      <c r="A26" s="21" t="s">
        <v>27</v>
      </c>
      <c r="B26" s="20"/>
      <c r="C26" s="19" t="s">
        <v>28</v>
      </c>
      <c r="D26" s="20"/>
      <c r="E26" s="20"/>
      <c r="F26" s="20"/>
      <c r="G26" s="20"/>
      <c r="H26" s="20"/>
    </row>
    <row r="27" spans="1:8" x14ac:dyDescent="0.2">
      <c r="A27" s="21" t="s">
        <v>29</v>
      </c>
      <c r="B27" s="20"/>
      <c r="C27" s="19" t="s">
        <v>30</v>
      </c>
      <c r="D27" s="20"/>
      <c r="E27" s="20"/>
      <c r="F27" s="20"/>
      <c r="G27" s="20"/>
      <c r="H27" s="20"/>
    </row>
  </sheetData>
  <mergeCells count="39">
    <mergeCell ref="J1:L1"/>
    <mergeCell ref="C24:H24"/>
    <mergeCell ref="A6:B7"/>
    <mergeCell ref="E19:F20"/>
    <mergeCell ref="G19:H20"/>
    <mergeCell ref="C18:D18"/>
    <mergeCell ref="E18:F18"/>
    <mergeCell ref="C27:H27"/>
    <mergeCell ref="A19:B20"/>
    <mergeCell ref="C23:H23"/>
    <mergeCell ref="C19:D20"/>
    <mergeCell ref="A18:B18"/>
    <mergeCell ref="G18:H18"/>
    <mergeCell ref="A27:B27"/>
    <mergeCell ref="A26:B26"/>
    <mergeCell ref="A23:B23"/>
    <mergeCell ref="A22:H22"/>
    <mergeCell ref="C5:D5"/>
    <mergeCell ref="E5:F5"/>
    <mergeCell ref="A11:D16"/>
    <mergeCell ref="A1:H1"/>
    <mergeCell ref="G8:H8"/>
    <mergeCell ref="A10:D10"/>
    <mergeCell ref="E8:F8"/>
    <mergeCell ref="A3:H3"/>
    <mergeCell ref="C6:D7"/>
    <mergeCell ref="A2:H2"/>
    <mergeCell ref="A5:B5"/>
    <mergeCell ref="G5:H5"/>
    <mergeCell ref="E11:H16"/>
    <mergeCell ref="A8:B8"/>
    <mergeCell ref="E10:H10"/>
    <mergeCell ref="C8:D8"/>
    <mergeCell ref="C25:H25"/>
    <mergeCell ref="C26:H26"/>
    <mergeCell ref="A24:B24"/>
    <mergeCell ref="E6:F7"/>
    <mergeCell ref="G6:H7"/>
    <mergeCell ref="A25:B25"/>
  </mergeCells>
  <hyperlinks>
    <hyperlink ref="A23" location="Assumptions!A1" display="[Assumptions]" xr:uid="{00000000-0004-0000-0000-000000000000}"/>
    <hyperlink ref="A24" location="DrugModel!A1" display="[DrugModel]" xr:uid="{00000000-0004-0000-0000-000001000000}"/>
    <hyperlink ref="A25" location="OpMargin!A1" display="[OpMargin]" xr:uid="{00000000-0004-0000-0000-000002000000}"/>
    <hyperlink ref="A26" location="Sensitivity!A1" display="[Sensitivity]" xr:uid="{00000000-0004-0000-0000-000003000000}"/>
    <hyperlink ref="A27" location="Sources!A1" display="[Sources]" xr:uid="{00000000-0004-0000-0000-000004000000}"/>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showGridLines="0" zoomScale="90" workbookViewId="0">
      <pane ySplit="4" topLeftCell="A9" activePane="bottomLeft" state="frozen"/>
      <selection pane="bottomLeft" sqref="A1:D1"/>
    </sheetView>
  </sheetViews>
  <sheetFormatPr baseColWidth="10" defaultColWidth="8.83203125" defaultRowHeight="15" x14ac:dyDescent="0.2"/>
  <cols>
    <col min="1" max="1" width="34" customWidth="1"/>
    <col min="2" max="2" width="16" customWidth="1"/>
    <col min="3" max="3" width="12" customWidth="1"/>
    <col min="4" max="4" width="46" customWidth="1"/>
  </cols>
  <sheetData>
    <row r="1" spans="1:4" ht="24" x14ac:dyDescent="0.2">
      <c r="A1" s="41" t="s">
        <v>31</v>
      </c>
      <c r="B1" s="20"/>
      <c r="C1" s="20"/>
      <c r="D1" s="20"/>
    </row>
    <row r="2" spans="1:4" x14ac:dyDescent="0.2">
      <c r="A2" s="43" t="s">
        <v>32</v>
      </c>
      <c r="B2" s="20"/>
      <c r="C2" s="20"/>
      <c r="D2" s="20"/>
    </row>
    <row r="4" spans="1:4" x14ac:dyDescent="0.2">
      <c r="A4" s="42" t="s">
        <v>33</v>
      </c>
      <c r="B4" s="20"/>
      <c r="C4" s="20"/>
      <c r="D4" s="20"/>
    </row>
    <row r="5" spans="1:4" ht="16" x14ac:dyDescent="0.2">
      <c r="A5" s="1" t="s">
        <v>34</v>
      </c>
      <c r="B5" s="2">
        <v>39000</v>
      </c>
      <c r="C5" s="3" t="s">
        <v>35</v>
      </c>
      <c r="D5" s="4" t="s">
        <v>36</v>
      </c>
    </row>
    <row r="6" spans="1:4" ht="16" x14ac:dyDescent="0.2">
      <c r="A6" s="1" t="s">
        <v>37</v>
      </c>
      <c r="B6" s="5">
        <v>26</v>
      </c>
      <c r="C6" s="3" t="s">
        <v>38</v>
      </c>
      <c r="D6" s="4" t="s">
        <v>39</v>
      </c>
    </row>
    <row r="7" spans="1:4" ht="16" x14ac:dyDescent="0.2">
      <c r="A7" s="1" t="s">
        <v>40</v>
      </c>
      <c r="B7" s="6">
        <v>0.15</v>
      </c>
      <c r="C7" s="3" t="s">
        <v>41</v>
      </c>
      <c r="D7" s="4" t="s">
        <v>42</v>
      </c>
    </row>
    <row r="8" spans="1:4" ht="16" x14ac:dyDescent="0.2">
      <c r="A8" s="1" t="s">
        <v>40</v>
      </c>
      <c r="B8" s="6">
        <v>0.2</v>
      </c>
      <c r="C8" s="3" t="s">
        <v>41</v>
      </c>
      <c r="D8" s="4" t="s">
        <v>43</v>
      </c>
    </row>
    <row r="9" spans="1:4" ht="16" x14ac:dyDescent="0.2">
      <c r="A9" s="1" t="s">
        <v>40</v>
      </c>
      <c r="B9" s="6">
        <v>0.3</v>
      </c>
      <c r="C9" s="3" t="s">
        <v>41</v>
      </c>
      <c r="D9" s="4" t="s">
        <v>44</v>
      </c>
    </row>
    <row r="12" spans="1:4" x14ac:dyDescent="0.2">
      <c r="A12" s="42" t="s">
        <v>45</v>
      </c>
      <c r="B12" s="20"/>
      <c r="C12" s="20"/>
      <c r="D12" s="20"/>
    </row>
    <row r="13" spans="1:4" ht="16" x14ac:dyDescent="0.2">
      <c r="A13" s="1" t="s">
        <v>46</v>
      </c>
      <c r="B13" s="6">
        <v>0.03</v>
      </c>
      <c r="C13" s="3" t="s">
        <v>41</v>
      </c>
      <c r="D13" s="4" t="s">
        <v>47</v>
      </c>
    </row>
    <row r="14" spans="1:4" ht="16" x14ac:dyDescent="0.2">
      <c r="A14" s="1" t="s">
        <v>48</v>
      </c>
      <c r="B14" s="6">
        <v>0.23100000000000001</v>
      </c>
      <c r="C14" s="3" t="s">
        <v>41</v>
      </c>
      <c r="D14" s="4" t="s">
        <v>49</v>
      </c>
    </row>
    <row r="15" spans="1:4" ht="16" x14ac:dyDescent="0.2">
      <c r="A15" s="1" t="s">
        <v>50</v>
      </c>
      <c r="B15" s="6">
        <v>0.17100000000000001</v>
      </c>
      <c r="C15" s="3" t="s">
        <v>41</v>
      </c>
      <c r="D15" s="4" t="s">
        <v>51</v>
      </c>
    </row>
    <row r="16" spans="1:4" ht="16" x14ac:dyDescent="0.2">
      <c r="A16" s="1" t="s">
        <v>52</v>
      </c>
      <c r="B16" s="6">
        <v>5.0000000000000001E-3</v>
      </c>
      <c r="C16" s="3" t="s">
        <v>41</v>
      </c>
      <c r="D16" s="4" t="s">
        <v>53</v>
      </c>
    </row>
    <row r="17" spans="1:4" ht="16" x14ac:dyDescent="0.2">
      <c r="A17" s="1" t="s">
        <v>54</v>
      </c>
      <c r="B17" s="5">
        <v>45</v>
      </c>
      <c r="C17" s="3" t="s">
        <v>55</v>
      </c>
      <c r="D17" s="4" t="s">
        <v>56</v>
      </c>
    </row>
    <row r="18" spans="1:4" ht="32" x14ac:dyDescent="0.2">
      <c r="A18" s="1" t="s">
        <v>57</v>
      </c>
      <c r="B18" s="6">
        <v>0.08</v>
      </c>
      <c r="C18" s="3" t="s">
        <v>41</v>
      </c>
      <c r="D18" s="4" t="s">
        <v>58</v>
      </c>
    </row>
    <row r="21" spans="1:4" x14ac:dyDescent="0.2">
      <c r="A21" s="42" t="s">
        <v>59</v>
      </c>
      <c r="B21" s="20"/>
      <c r="C21" s="20"/>
      <c r="D21" s="20"/>
    </row>
    <row r="22" spans="1:4" ht="16" x14ac:dyDescent="0.2">
      <c r="A22" s="1" t="s">
        <v>60</v>
      </c>
      <c r="B22" s="2">
        <v>750</v>
      </c>
      <c r="C22" s="3" t="s">
        <v>35</v>
      </c>
      <c r="D22" s="4" t="s">
        <v>61</v>
      </c>
    </row>
    <row r="23" spans="1:4" ht="16" x14ac:dyDescent="0.2">
      <c r="A23" s="1" t="s">
        <v>62</v>
      </c>
      <c r="B23" s="7">
        <v>1.25</v>
      </c>
      <c r="C23" s="3" t="s">
        <v>63</v>
      </c>
      <c r="D23" s="4" t="s">
        <v>64</v>
      </c>
    </row>
    <row r="24" spans="1:4" ht="16" x14ac:dyDescent="0.2">
      <c r="A24" s="1" t="s">
        <v>65</v>
      </c>
      <c r="B24" s="2">
        <v>98.97</v>
      </c>
      <c r="C24" s="3" t="s">
        <v>66</v>
      </c>
      <c r="D24" s="4" t="s">
        <v>67</v>
      </c>
    </row>
    <row r="25" spans="1:4" ht="16" x14ac:dyDescent="0.2">
      <c r="A25" s="1" t="s">
        <v>68</v>
      </c>
      <c r="B25" s="7">
        <v>3</v>
      </c>
      <c r="C25" s="3" t="s">
        <v>63</v>
      </c>
      <c r="D25" s="4" t="s">
        <v>64</v>
      </c>
    </row>
    <row r="26" spans="1:4" ht="32" x14ac:dyDescent="0.2">
      <c r="A26" s="1" t="s">
        <v>69</v>
      </c>
      <c r="B26" s="2">
        <v>50.21</v>
      </c>
      <c r="C26" s="3" t="s">
        <v>66</v>
      </c>
      <c r="D26" s="4" t="s">
        <v>70</v>
      </c>
    </row>
    <row r="27" spans="1:4" ht="16" x14ac:dyDescent="0.2">
      <c r="A27" s="1" t="s">
        <v>71</v>
      </c>
      <c r="B27" s="6">
        <v>0.5</v>
      </c>
      <c r="C27" s="3" t="s">
        <v>41</v>
      </c>
      <c r="D27" s="4" t="s">
        <v>72</v>
      </c>
    </row>
    <row r="28" spans="1:4" ht="16" x14ac:dyDescent="0.2">
      <c r="A28" s="1" t="s">
        <v>73</v>
      </c>
      <c r="B28" s="6">
        <v>0.5</v>
      </c>
      <c r="C28" s="3" t="s">
        <v>41</v>
      </c>
      <c r="D28" s="4" t="s">
        <v>72</v>
      </c>
    </row>
    <row r="31" spans="1:4" x14ac:dyDescent="0.2">
      <c r="A31" s="42" t="s">
        <v>74</v>
      </c>
      <c r="B31" s="20"/>
      <c r="C31" s="20"/>
      <c r="D31" s="20"/>
    </row>
    <row r="32" spans="1:4" ht="16" x14ac:dyDescent="0.2">
      <c r="A32" s="1" t="s">
        <v>75</v>
      </c>
      <c r="B32" s="8">
        <f>B5*(1-B7)</f>
        <v>33150</v>
      </c>
      <c r="C32" s="3" t="s">
        <v>35</v>
      </c>
      <c r="D32" s="4" t="s">
        <v>76</v>
      </c>
    </row>
    <row r="33" spans="1:4" ht="16" x14ac:dyDescent="0.2">
      <c r="A33" s="1" t="s">
        <v>77</v>
      </c>
      <c r="B33" s="8">
        <f>B5*(1-B8)</f>
        <v>31200</v>
      </c>
      <c r="C33" s="3" t="s">
        <v>35</v>
      </c>
      <c r="D33" s="4" t="s">
        <v>78</v>
      </c>
    </row>
    <row r="34" spans="1:4" ht="16" x14ac:dyDescent="0.2">
      <c r="A34" s="1" t="s">
        <v>79</v>
      </c>
      <c r="B34" s="8">
        <f>B5*(1-B9)</f>
        <v>27300</v>
      </c>
      <c r="C34" s="3" t="s">
        <v>35</v>
      </c>
      <c r="D34" s="4" t="s">
        <v>80</v>
      </c>
    </row>
    <row r="35" spans="1:4" ht="16" x14ac:dyDescent="0.2">
      <c r="A35" s="1" t="s">
        <v>81</v>
      </c>
      <c r="B35" s="8">
        <f>B5*(1+B13)</f>
        <v>40170</v>
      </c>
      <c r="C35" s="3" t="s">
        <v>35</v>
      </c>
      <c r="D35" s="4" t="s">
        <v>82</v>
      </c>
    </row>
    <row r="36" spans="1:4" ht="16" x14ac:dyDescent="0.2">
      <c r="A36" s="1" t="s">
        <v>83</v>
      </c>
      <c r="B36" s="8">
        <f>B5*(1-B14)</f>
        <v>29991</v>
      </c>
      <c r="C36" s="3" t="s">
        <v>35</v>
      </c>
      <c r="D36" s="4" t="s">
        <v>84</v>
      </c>
    </row>
    <row r="37" spans="1:4" ht="16" x14ac:dyDescent="0.2">
      <c r="A37" s="1" t="s">
        <v>85</v>
      </c>
      <c r="B37" s="8">
        <f>B5*(1-B15)</f>
        <v>32331</v>
      </c>
      <c r="C37" s="3" t="s">
        <v>35</v>
      </c>
      <c r="D37" s="4" t="s">
        <v>86</v>
      </c>
    </row>
    <row r="38" spans="1:4" ht="16" x14ac:dyDescent="0.2">
      <c r="A38" s="1" t="s">
        <v>87</v>
      </c>
      <c r="B38" s="8">
        <f>B5*B6</f>
        <v>1014000</v>
      </c>
      <c r="C38" s="3" t="s">
        <v>88</v>
      </c>
      <c r="D38" s="4" t="s">
        <v>89</v>
      </c>
    </row>
    <row r="39" spans="1:4" ht="16" x14ac:dyDescent="0.2">
      <c r="A39" s="1" t="s">
        <v>90</v>
      </c>
      <c r="B39" s="8">
        <f>B23*B24+B25*B26</f>
        <v>274.34249999999997</v>
      </c>
      <c r="C39" s="3" t="s">
        <v>35</v>
      </c>
      <c r="D39" s="4" t="s">
        <v>91</v>
      </c>
    </row>
    <row r="40" spans="1:4" ht="16" x14ac:dyDescent="0.2">
      <c r="A40" s="1" t="s">
        <v>92</v>
      </c>
      <c r="B40" s="8">
        <f>(B22+B5)*B16</f>
        <v>198.75</v>
      </c>
      <c r="C40" s="3" t="s">
        <v>35</v>
      </c>
      <c r="D40" s="4" t="s">
        <v>93</v>
      </c>
    </row>
    <row r="41" spans="1:4" ht="16" x14ac:dyDescent="0.2">
      <c r="A41" s="1" t="s">
        <v>94</v>
      </c>
      <c r="B41" s="8">
        <f>B5*B18*B17/365</f>
        <v>384.65753424657532</v>
      </c>
      <c r="C41" s="3" t="s">
        <v>35</v>
      </c>
      <c r="D41" s="4" t="s">
        <v>95</v>
      </c>
    </row>
    <row r="42" spans="1:4" ht="16" x14ac:dyDescent="0.2">
      <c r="A42" s="1" t="s">
        <v>96</v>
      </c>
      <c r="B42" s="8">
        <f>B5*5%</f>
        <v>1950</v>
      </c>
      <c r="C42" s="3" t="s">
        <v>35</v>
      </c>
      <c r="D42" s="4" t="s">
        <v>97</v>
      </c>
    </row>
    <row r="43" spans="1:4" ht="16" x14ac:dyDescent="0.2">
      <c r="A43" s="1" t="s">
        <v>98</v>
      </c>
      <c r="B43" s="8">
        <f>B5*10%</f>
        <v>3900</v>
      </c>
      <c r="C43" s="3" t="s">
        <v>35</v>
      </c>
      <c r="D43" s="4" t="s">
        <v>99</v>
      </c>
    </row>
    <row r="44" spans="1:4" ht="32" x14ac:dyDescent="0.2">
      <c r="A44" s="1" t="s">
        <v>100</v>
      </c>
      <c r="B44" s="8">
        <f>B35-B36</f>
        <v>10179</v>
      </c>
      <c r="C44" s="3" t="s">
        <v>35</v>
      </c>
      <c r="D44" s="4" t="s">
        <v>101</v>
      </c>
    </row>
    <row r="45" spans="1:4" ht="16" x14ac:dyDescent="0.2">
      <c r="A45" s="1" t="s">
        <v>102</v>
      </c>
      <c r="B45" s="8">
        <f>B44*B6</f>
        <v>264654</v>
      </c>
      <c r="C45" s="3" t="s">
        <v>88</v>
      </c>
      <c r="D45" s="4" t="s">
        <v>103</v>
      </c>
    </row>
  </sheetData>
  <mergeCells count="6">
    <mergeCell ref="A1:D1"/>
    <mergeCell ref="A31:D31"/>
    <mergeCell ref="A12:D12"/>
    <mergeCell ref="A4:D4"/>
    <mergeCell ref="A21:D21"/>
    <mergeCell ref="A2:D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showGridLines="0" tabSelected="1" zoomScale="90" workbookViewId="0">
      <pane ySplit="4" topLeftCell="A5" activePane="bottomLeft" state="frozen"/>
      <selection pane="bottomLeft" sqref="A1:I1"/>
    </sheetView>
  </sheetViews>
  <sheetFormatPr baseColWidth="10" defaultColWidth="8.83203125" defaultRowHeight="15" x14ac:dyDescent="0.2"/>
  <cols>
    <col min="1" max="1" width="42" customWidth="1"/>
    <col min="2" max="2" width="17" customWidth="1"/>
    <col min="3" max="5" width="14" customWidth="1"/>
    <col min="6" max="6" width="21" customWidth="1"/>
    <col min="7" max="7" width="18" customWidth="1"/>
    <col min="8" max="8" width="20" customWidth="1"/>
    <col min="9" max="9" width="36" customWidth="1"/>
    <col min="11" max="13" width="16" customWidth="1"/>
  </cols>
  <sheetData>
    <row r="1" spans="1:9" ht="24" x14ac:dyDescent="0.2">
      <c r="A1" s="41" t="s">
        <v>104</v>
      </c>
      <c r="B1" s="20"/>
      <c r="C1" s="20"/>
      <c r="D1" s="20"/>
      <c r="E1" s="20"/>
      <c r="F1" s="20"/>
      <c r="G1" s="20"/>
      <c r="H1" s="20"/>
      <c r="I1" s="20"/>
    </row>
    <row r="2" spans="1:9" x14ac:dyDescent="0.2">
      <c r="A2" s="43" t="s">
        <v>105</v>
      </c>
      <c r="B2" s="20"/>
      <c r="C2" s="20"/>
      <c r="D2" s="20"/>
      <c r="E2" s="20"/>
      <c r="F2" s="20"/>
      <c r="G2" s="20"/>
      <c r="H2" s="20"/>
      <c r="I2" s="20"/>
    </row>
    <row r="3" spans="1:9" x14ac:dyDescent="0.2">
      <c r="A3" s="42" t="s">
        <v>106</v>
      </c>
      <c r="B3" s="20"/>
      <c r="C3" s="20"/>
      <c r="D3" s="20"/>
      <c r="E3" s="20"/>
      <c r="F3" s="20"/>
      <c r="G3" s="20"/>
      <c r="H3" s="20"/>
      <c r="I3" s="20"/>
    </row>
    <row r="5" spans="1:9" ht="32" x14ac:dyDescent="0.2">
      <c r="A5" s="9" t="s">
        <v>107</v>
      </c>
      <c r="B5" s="9" t="s">
        <v>108</v>
      </c>
      <c r="C5" s="9" t="s">
        <v>109</v>
      </c>
      <c r="D5" s="9" t="s">
        <v>110</v>
      </c>
      <c r="E5" s="9" t="s">
        <v>111</v>
      </c>
      <c r="F5" s="9" t="s">
        <v>112</v>
      </c>
      <c r="G5" s="9" t="s">
        <v>113</v>
      </c>
      <c r="H5" s="9" t="s">
        <v>114</v>
      </c>
      <c r="I5" s="9" t="s">
        <v>115</v>
      </c>
    </row>
    <row r="6" spans="1:9" ht="48" x14ac:dyDescent="0.2">
      <c r="A6" s="10" t="s">
        <v>116</v>
      </c>
      <c r="B6" s="8">
        <f>Assumptions!B5</f>
        <v>39000</v>
      </c>
      <c r="C6" s="8">
        <f>Assumptions!B32</f>
        <v>33150</v>
      </c>
      <c r="D6" s="8">
        <f>Assumptions!B33</f>
        <v>31200</v>
      </c>
      <c r="E6" s="8">
        <f>Assumptions!B34</f>
        <v>27300</v>
      </c>
      <c r="F6" s="8">
        <f>Assumptions!B5</f>
        <v>39000</v>
      </c>
      <c r="G6" s="8">
        <f>F6-B6</f>
        <v>0</v>
      </c>
      <c r="H6" s="8">
        <f>G6*Assumptions!B6</f>
        <v>0</v>
      </c>
      <c r="I6" s="10" t="s">
        <v>117</v>
      </c>
    </row>
    <row r="7" spans="1:9" ht="32" x14ac:dyDescent="0.2">
      <c r="A7" s="10" t="s">
        <v>118</v>
      </c>
      <c r="B7" s="8">
        <f>Assumptions!B5</f>
        <v>39000</v>
      </c>
      <c r="C7" s="8">
        <f>Assumptions!B32</f>
        <v>33150</v>
      </c>
      <c r="D7" s="8">
        <f>Assumptions!B33</f>
        <v>31200</v>
      </c>
      <c r="E7" s="8">
        <f>Assumptions!B34</f>
        <v>27300</v>
      </c>
      <c r="F7" s="8">
        <f>Assumptions!B35</f>
        <v>40170</v>
      </c>
      <c r="G7" s="8">
        <f>F7-B7</f>
        <v>1170</v>
      </c>
      <c r="H7" s="8">
        <f>G7*Assumptions!B6</f>
        <v>30420</v>
      </c>
      <c r="I7" s="10" t="s">
        <v>119</v>
      </c>
    </row>
    <row r="8" spans="1:9" ht="32" x14ac:dyDescent="0.2">
      <c r="A8" s="10" t="s">
        <v>120</v>
      </c>
      <c r="B8" s="8">
        <f>Assumptions!B36</f>
        <v>29991</v>
      </c>
      <c r="C8" s="8">
        <f>Assumptions!B32</f>
        <v>33150</v>
      </c>
      <c r="D8" s="8">
        <f>Assumptions!B33</f>
        <v>31200</v>
      </c>
      <c r="E8" s="8">
        <f>Assumptions!B34</f>
        <v>27300</v>
      </c>
      <c r="F8" s="8">
        <f>Assumptions!B35</f>
        <v>40170</v>
      </c>
      <c r="G8" s="8">
        <f>F8-B8</f>
        <v>10179</v>
      </c>
      <c r="H8" s="8">
        <f>G8*Assumptions!B6</f>
        <v>264654</v>
      </c>
      <c r="I8" s="10" t="s">
        <v>121</v>
      </c>
    </row>
    <row r="9" spans="1:9" ht="48" x14ac:dyDescent="0.2">
      <c r="A9" s="10" t="s">
        <v>122</v>
      </c>
      <c r="B9" s="8">
        <f>0</f>
        <v>0</v>
      </c>
      <c r="C9" s="8">
        <f>Assumptions!B32</f>
        <v>33150</v>
      </c>
      <c r="D9" s="8">
        <f>Assumptions!B33</f>
        <v>31200</v>
      </c>
      <c r="E9" s="8">
        <f>Assumptions!B34</f>
        <v>27300</v>
      </c>
      <c r="F9" s="8">
        <f>0</f>
        <v>0</v>
      </c>
      <c r="G9" s="8">
        <f>F9-B9</f>
        <v>0</v>
      </c>
      <c r="H9" s="8">
        <f>G9*Assumptions!B6</f>
        <v>0</v>
      </c>
      <c r="I9" s="10" t="s">
        <v>123</v>
      </c>
    </row>
    <row r="12" spans="1:9" x14ac:dyDescent="0.2">
      <c r="A12" s="42" t="s">
        <v>124</v>
      </c>
      <c r="B12" s="20"/>
      <c r="C12" s="20"/>
    </row>
    <row r="13" spans="1:9" ht="32" x14ac:dyDescent="0.2">
      <c r="A13" s="9" t="s">
        <v>125</v>
      </c>
      <c r="B13" s="9" t="s">
        <v>126</v>
      </c>
      <c r="C13" s="9" t="s">
        <v>127</v>
      </c>
    </row>
    <row r="14" spans="1:9" x14ac:dyDescent="0.2">
      <c r="A14" s="11" t="s">
        <v>128</v>
      </c>
      <c r="B14" s="12">
        <f>Assumptions!B5</f>
        <v>39000</v>
      </c>
      <c r="C14" s="12">
        <f>Assumptions!B5-Assumptions!B5</f>
        <v>0</v>
      </c>
    </row>
    <row r="15" spans="1:9" x14ac:dyDescent="0.2">
      <c r="A15" s="11" t="s">
        <v>83</v>
      </c>
      <c r="B15" s="12">
        <f>Assumptions!B36</f>
        <v>29991</v>
      </c>
      <c r="C15" s="12">
        <f>Assumptions!B5-Assumptions!B36</f>
        <v>9009</v>
      </c>
    </row>
    <row r="16" spans="1:9" x14ac:dyDescent="0.2">
      <c r="A16" s="11" t="s">
        <v>85</v>
      </c>
      <c r="B16" s="12">
        <f>Assumptions!B37</f>
        <v>32331</v>
      </c>
      <c r="C16" s="12">
        <f>Assumptions!B5-Assumptions!B37</f>
        <v>6669</v>
      </c>
    </row>
  </sheetData>
  <mergeCells count="4">
    <mergeCell ref="A1:I1"/>
    <mergeCell ref="A3:I3"/>
    <mergeCell ref="A2:I2"/>
    <mergeCell ref="A12:C12"/>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showGridLines="0" zoomScale="90" workbookViewId="0">
      <pane ySplit="4" topLeftCell="A5" activePane="bottomLeft" state="frozen"/>
      <selection pane="bottomLeft" sqref="A1:H1"/>
    </sheetView>
  </sheetViews>
  <sheetFormatPr baseColWidth="10" defaultColWidth="8.83203125" defaultRowHeight="15" x14ac:dyDescent="0.2"/>
  <cols>
    <col min="1" max="1" width="44" customWidth="1"/>
    <col min="2" max="2" width="16" customWidth="1"/>
    <col min="3" max="3" width="18" customWidth="1"/>
    <col min="4" max="5" width="16" customWidth="1"/>
    <col min="6" max="6" width="18" customWidth="1"/>
    <col min="7" max="8" width="16" customWidth="1"/>
    <col min="10" max="12" width="16" customWidth="1"/>
  </cols>
  <sheetData>
    <row r="1" spans="1:8" ht="24" x14ac:dyDescent="0.2">
      <c r="A1" s="41" t="s">
        <v>129</v>
      </c>
      <c r="B1" s="20"/>
      <c r="C1" s="20"/>
      <c r="D1" s="20"/>
      <c r="E1" s="20"/>
      <c r="F1" s="20"/>
      <c r="G1" s="20"/>
      <c r="H1" s="20"/>
    </row>
    <row r="2" spans="1:8" x14ac:dyDescent="0.2">
      <c r="A2" s="43" t="s">
        <v>130</v>
      </c>
      <c r="B2" s="20"/>
      <c r="C2" s="20"/>
      <c r="D2" s="20"/>
      <c r="E2" s="20"/>
      <c r="F2" s="20"/>
      <c r="G2" s="20"/>
      <c r="H2" s="20"/>
    </row>
    <row r="3" spans="1:8" x14ac:dyDescent="0.2">
      <c r="A3" s="42" t="s">
        <v>131</v>
      </c>
      <c r="B3" s="20"/>
      <c r="C3" s="20"/>
      <c r="D3" s="20"/>
      <c r="E3" s="20"/>
      <c r="F3" s="20"/>
      <c r="G3" s="20"/>
      <c r="H3" s="20"/>
    </row>
    <row r="5" spans="1:8" ht="32" x14ac:dyDescent="0.2">
      <c r="A5" s="9" t="s">
        <v>107</v>
      </c>
      <c r="B5" s="9" t="s">
        <v>132</v>
      </c>
      <c r="C5" s="9" t="s">
        <v>133</v>
      </c>
      <c r="D5" s="9" t="s">
        <v>134</v>
      </c>
      <c r="E5" s="9" t="s">
        <v>19</v>
      </c>
      <c r="F5" s="9" t="s">
        <v>135</v>
      </c>
      <c r="G5" s="9" t="s">
        <v>136</v>
      </c>
      <c r="H5" s="9" t="s">
        <v>137</v>
      </c>
    </row>
    <row r="6" spans="1:8" ht="16" x14ac:dyDescent="0.2">
      <c r="A6" s="10" t="s">
        <v>138</v>
      </c>
      <c r="B6" s="8">
        <f>Assumptions!B22</f>
        <v>750</v>
      </c>
      <c r="C6" s="8">
        <f>Assumptions!B39</f>
        <v>274.34249999999997</v>
      </c>
      <c r="D6" s="8">
        <f>Assumptions!B40</f>
        <v>198.75</v>
      </c>
      <c r="E6" s="8">
        <f>Assumptions!B41</f>
        <v>384.65753424657532</v>
      </c>
      <c r="F6" s="8">
        <f>0</f>
        <v>0</v>
      </c>
      <c r="G6" s="8">
        <f>B6-C6-D6-E6+F6</f>
        <v>-107.7500342465753</v>
      </c>
      <c r="H6" s="8">
        <f>G6*Assumptions!B6</f>
        <v>-2801.5008904109577</v>
      </c>
    </row>
    <row r="7" spans="1:8" ht="32" x14ac:dyDescent="0.2">
      <c r="A7" s="10" t="s">
        <v>139</v>
      </c>
      <c r="B7" s="8">
        <f>Assumptions!B22</f>
        <v>750</v>
      </c>
      <c r="C7" s="8">
        <f>Assumptions!B39</f>
        <v>274.34249999999997</v>
      </c>
      <c r="D7" s="8">
        <f>Assumptions!B40</f>
        <v>198.75</v>
      </c>
      <c r="E7" s="8">
        <f>Assumptions!B41</f>
        <v>384.65753424657532</v>
      </c>
      <c r="F7" s="8">
        <f>Assumptions!B42</f>
        <v>1950</v>
      </c>
      <c r="G7" s="8">
        <f>B7-C7-D7-E7+F7</f>
        <v>1842.2499657534247</v>
      </c>
      <c r="H7" s="8">
        <f>G7*Assumptions!B6</f>
        <v>47898.499109589044</v>
      </c>
    </row>
    <row r="8" spans="1:8" ht="32" x14ac:dyDescent="0.2">
      <c r="A8" s="10" t="s">
        <v>140</v>
      </c>
      <c r="B8" s="8">
        <f>Assumptions!B22</f>
        <v>750</v>
      </c>
      <c r="C8" s="8">
        <f>Assumptions!B39</f>
        <v>274.34249999999997</v>
      </c>
      <c r="D8" s="8">
        <f>Assumptions!B40</f>
        <v>198.75</v>
      </c>
      <c r="E8" s="8">
        <f>Assumptions!B41</f>
        <v>384.65753424657532</v>
      </c>
      <c r="F8" s="8">
        <f>Assumptions!B43</f>
        <v>3900</v>
      </c>
      <c r="G8" s="8">
        <f>B8-C8-D8-E8+F8</f>
        <v>3792.2499657534245</v>
      </c>
      <c r="H8" s="8">
        <f>G8*Assumptions!B6</f>
        <v>98598.499109589029</v>
      </c>
    </row>
    <row r="11" spans="1:8" x14ac:dyDescent="0.2">
      <c r="A11" s="44" t="s">
        <v>141</v>
      </c>
      <c r="B11" s="20"/>
      <c r="C11" s="20"/>
      <c r="D11" s="20"/>
      <c r="E11" s="20"/>
      <c r="F11" s="20"/>
      <c r="G11" s="20"/>
      <c r="H11" s="20"/>
    </row>
    <row r="13" spans="1:8" x14ac:dyDescent="0.2">
      <c r="A13" s="42" t="s">
        <v>142</v>
      </c>
      <c r="B13" s="20"/>
      <c r="C13" s="20"/>
      <c r="D13" s="20"/>
    </row>
    <row r="15" spans="1:8" ht="16" x14ac:dyDescent="0.2">
      <c r="A15" s="9" t="s">
        <v>125</v>
      </c>
      <c r="B15" s="9" t="s">
        <v>143</v>
      </c>
      <c r="C15" s="9" t="s">
        <v>126</v>
      </c>
      <c r="D15" s="9" t="s">
        <v>144</v>
      </c>
    </row>
    <row r="16" spans="1:8" x14ac:dyDescent="0.2">
      <c r="A16" s="11" t="s">
        <v>145</v>
      </c>
      <c r="B16" s="3" t="s">
        <v>146</v>
      </c>
      <c r="C16" s="12">
        <f>Assumptions!B5</f>
        <v>39000</v>
      </c>
      <c r="D16" s="12">
        <f>Assumptions!B5*Assumptions!B6</f>
        <v>1014000</v>
      </c>
    </row>
    <row r="17" spans="1:4" x14ac:dyDescent="0.2">
      <c r="A17" s="11" t="s">
        <v>147</v>
      </c>
      <c r="B17" s="3" t="s">
        <v>148</v>
      </c>
      <c r="C17" s="12">
        <f>Assumptions!B35</f>
        <v>40170</v>
      </c>
      <c r="D17" s="12">
        <f>Assumptions!B35*Assumptions!B6</f>
        <v>1044420</v>
      </c>
    </row>
    <row r="18" spans="1:4" x14ac:dyDescent="0.2">
      <c r="A18" s="11" t="s">
        <v>149</v>
      </c>
      <c r="B18" s="3" t="s">
        <v>150</v>
      </c>
      <c r="C18" s="12">
        <f>Assumptions!B44</f>
        <v>10179</v>
      </c>
      <c r="D18" s="12">
        <f>Assumptions!B45</f>
        <v>264654</v>
      </c>
    </row>
  </sheetData>
  <mergeCells count="5">
    <mergeCell ref="A3:H3"/>
    <mergeCell ref="A2:H2"/>
    <mergeCell ref="A11:H11"/>
    <mergeCell ref="A1:H1"/>
    <mergeCell ref="A13:D13"/>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7"/>
  <sheetViews>
    <sheetView showGridLines="0" zoomScale="90" workbookViewId="0">
      <pane ySplit="4" topLeftCell="A5" activePane="bottomLeft" state="frozen"/>
      <selection pane="bottomLeft" sqref="A1:E1"/>
    </sheetView>
  </sheetViews>
  <sheetFormatPr baseColWidth="10" defaultColWidth="8.83203125" defaultRowHeight="15" x14ac:dyDescent="0.2"/>
  <cols>
    <col min="1" max="1" width="16" customWidth="1"/>
    <col min="2" max="5" width="18" customWidth="1"/>
    <col min="6" max="6" width="5" customWidth="1"/>
    <col min="7" max="8" width="16" customWidth="1"/>
    <col min="9" max="9" width="4" customWidth="1"/>
    <col min="10" max="10" width="16" customWidth="1"/>
  </cols>
  <sheetData>
    <row r="1" spans="1:5" ht="24" x14ac:dyDescent="0.2">
      <c r="A1" s="41" t="s">
        <v>151</v>
      </c>
      <c r="B1" s="20"/>
      <c r="C1" s="20"/>
      <c r="D1" s="20"/>
      <c r="E1" s="20"/>
    </row>
    <row r="2" spans="1:5" x14ac:dyDescent="0.2">
      <c r="A2" s="43" t="s">
        <v>152</v>
      </c>
      <c r="B2" s="20"/>
      <c r="C2" s="20"/>
      <c r="D2" s="20"/>
      <c r="E2" s="20"/>
    </row>
    <row r="3" spans="1:5" x14ac:dyDescent="0.2">
      <c r="A3" s="42" t="s">
        <v>153</v>
      </c>
      <c r="B3" s="20"/>
      <c r="C3" s="20"/>
      <c r="D3" s="20"/>
      <c r="E3" s="20"/>
    </row>
    <row r="5" spans="1:5" ht="32" x14ac:dyDescent="0.2">
      <c r="A5" s="9" t="s">
        <v>154</v>
      </c>
      <c r="B5" s="9" t="s">
        <v>135</v>
      </c>
      <c r="C5" s="9" t="s">
        <v>136</v>
      </c>
      <c r="D5" s="9" t="s">
        <v>137</v>
      </c>
      <c r="E5" s="9" t="s">
        <v>155</v>
      </c>
    </row>
    <row r="6" spans="1:5" x14ac:dyDescent="0.2">
      <c r="A6" s="13">
        <v>0</v>
      </c>
      <c r="B6" s="12">
        <f>Assumptions!B5*A6</f>
        <v>0</v>
      </c>
      <c r="C6" s="12">
        <f>Assumptions!B22-Assumptions!B39-Assumptions!B40-Assumptions!B41+B6</f>
        <v>-107.7500342465753</v>
      </c>
      <c r="D6" s="12">
        <f>C6*Assumptions!B6</f>
        <v>-2801.5008904109577</v>
      </c>
      <c r="E6" s="14" t="s">
        <v>156</v>
      </c>
    </row>
    <row r="7" spans="1:5" x14ac:dyDescent="0.2">
      <c r="A7" s="13">
        <v>0.01</v>
      </c>
      <c r="B7" s="12">
        <f>Assumptions!B5*A7</f>
        <v>390</v>
      </c>
      <c r="C7" s="12">
        <f>Assumptions!B22-Assumptions!B39-Assumptions!B40-Assumptions!B41+B7</f>
        <v>282.2499657534247</v>
      </c>
      <c r="D7" s="12">
        <f>C7*Assumptions!B6</f>
        <v>7338.4991095890418</v>
      </c>
      <c r="E7" s="14" t="s">
        <v>157</v>
      </c>
    </row>
    <row r="8" spans="1:5" x14ac:dyDescent="0.2">
      <c r="A8" s="13">
        <v>0.02</v>
      </c>
      <c r="B8" s="12">
        <f>Assumptions!B5*A8</f>
        <v>780</v>
      </c>
      <c r="C8" s="12">
        <f>Assumptions!B22-Assumptions!B39-Assumptions!B40-Assumptions!B41+B8</f>
        <v>672.2499657534247</v>
      </c>
      <c r="D8" s="12">
        <f>C8*Assumptions!B6</f>
        <v>17478.499109589044</v>
      </c>
      <c r="E8" s="14" t="s">
        <v>157</v>
      </c>
    </row>
    <row r="9" spans="1:5" x14ac:dyDescent="0.2">
      <c r="A9" s="13">
        <v>0.03</v>
      </c>
      <c r="B9" s="12">
        <f>Assumptions!B5*A9</f>
        <v>1170</v>
      </c>
      <c r="C9" s="12">
        <f>Assumptions!B22-Assumptions!B39-Assumptions!B40-Assumptions!B41+B9</f>
        <v>1062.2499657534247</v>
      </c>
      <c r="D9" s="12">
        <f>C9*Assumptions!B6</f>
        <v>27618.499109589044</v>
      </c>
      <c r="E9" s="14" t="s">
        <v>157</v>
      </c>
    </row>
    <row r="10" spans="1:5" x14ac:dyDescent="0.2">
      <c r="A10" s="13">
        <v>0.04</v>
      </c>
      <c r="B10" s="12">
        <f>Assumptions!B5*A10</f>
        <v>1560</v>
      </c>
      <c r="C10" s="12">
        <f>Assumptions!B22-Assumptions!B39-Assumptions!B40-Assumptions!B41+B10</f>
        <v>1452.2499657534247</v>
      </c>
      <c r="D10" s="12">
        <f>C10*Assumptions!B6</f>
        <v>37758.499109589044</v>
      </c>
      <c r="E10" s="14" t="s">
        <v>157</v>
      </c>
    </row>
    <row r="11" spans="1:5" x14ac:dyDescent="0.2">
      <c r="A11" s="15">
        <v>0.05</v>
      </c>
      <c r="B11" s="12">
        <f>Assumptions!B5*A11</f>
        <v>1950</v>
      </c>
      <c r="C11" s="12">
        <f>Assumptions!B22-Assumptions!B39-Assumptions!B40-Assumptions!B41+B11</f>
        <v>1842.2499657534247</v>
      </c>
      <c r="D11" s="12">
        <f>C11*Assumptions!B6</f>
        <v>47898.499109589044</v>
      </c>
      <c r="E11" s="14" t="s">
        <v>158</v>
      </c>
    </row>
    <row r="12" spans="1:5" x14ac:dyDescent="0.2">
      <c r="A12" s="13">
        <v>0.06</v>
      </c>
      <c r="B12" s="12">
        <f>Assumptions!B5*A12</f>
        <v>2340</v>
      </c>
      <c r="C12" s="12">
        <f>Assumptions!B22-Assumptions!B39-Assumptions!B40-Assumptions!B41+B12</f>
        <v>2232.2499657534245</v>
      </c>
      <c r="D12" s="12">
        <f>C12*Assumptions!B6</f>
        <v>58038.499109589036</v>
      </c>
      <c r="E12" s="14" t="s">
        <v>157</v>
      </c>
    </row>
    <row r="13" spans="1:5" x14ac:dyDescent="0.2">
      <c r="A13" s="13">
        <v>7.0000000000000007E-2</v>
      </c>
      <c r="B13" s="12">
        <f>Assumptions!B5*A13</f>
        <v>2730.0000000000005</v>
      </c>
      <c r="C13" s="12">
        <f>Assumptions!B22-Assumptions!B39-Assumptions!B40-Assumptions!B41+B13</f>
        <v>2622.2499657534254</v>
      </c>
      <c r="D13" s="12">
        <f>C13*Assumptions!B6</f>
        <v>68178.499109589058</v>
      </c>
      <c r="E13" s="14" t="s">
        <v>157</v>
      </c>
    </row>
    <row r="14" spans="1:5" x14ac:dyDescent="0.2">
      <c r="A14" s="13">
        <v>0.08</v>
      </c>
      <c r="B14" s="12">
        <f>Assumptions!B5*A14</f>
        <v>3120</v>
      </c>
      <c r="C14" s="12">
        <f>Assumptions!B22-Assumptions!B39-Assumptions!B40-Assumptions!B41+B14</f>
        <v>3012.2499657534245</v>
      </c>
      <c r="D14" s="12">
        <f>C14*Assumptions!B6</f>
        <v>78318.499109589029</v>
      </c>
      <c r="E14" s="14" t="s">
        <v>157</v>
      </c>
    </row>
    <row r="15" spans="1:5" x14ac:dyDescent="0.2">
      <c r="A15" s="13">
        <v>0.09</v>
      </c>
      <c r="B15" s="12">
        <f>Assumptions!B5*A15</f>
        <v>3510</v>
      </c>
      <c r="C15" s="12">
        <f>Assumptions!B22-Assumptions!B39-Assumptions!B40-Assumptions!B41+B15</f>
        <v>3402.2499657534245</v>
      </c>
      <c r="D15" s="12">
        <f>C15*Assumptions!B6</f>
        <v>88458.499109589029</v>
      </c>
      <c r="E15" s="14" t="s">
        <v>157</v>
      </c>
    </row>
    <row r="16" spans="1:5" x14ac:dyDescent="0.2">
      <c r="A16" s="15">
        <v>0.1</v>
      </c>
      <c r="B16" s="12">
        <f>Assumptions!B5*A16</f>
        <v>3900</v>
      </c>
      <c r="C16" s="12">
        <f>Assumptions!B22-Assumptions!B39-Assumptions!B40-Assumptions!B41+B16</f>
        <v>3792.2499657534245</v>
      </c>
      <c r="D16" s="12">
        <f>C16*Assumptions!B6</f>
        <v>98598.499109589029</v>
      </c>
      <c r="E16" s="14" t="s">
        <v>158</v>
      </c>
    </row>
    <row r="19" spans="1:5" x14ac:dyDescent="0.2">
      <c r="A19" s="30" t="s">
        <v>159</v>
      </c>
      <c r="B19" s="20"/>
      <c r="C19" s="20"/>
      <c r="D19" s="20"/>
      <c r="E19" s="20"/>
    </row>
    <row r="20" spans="1:5" ht="32" x14ac:dyDescent="0.2">
      <c r="A20" s="9" t="s">
        <v>160</v>
      </c>
      <c r="B20" s="9" t="s">
        <v>19</v>
      </c>
      <c r="C20" s="9" t="s">
        <v>136</v>
      </c>
      <c r="D20" s="9" t="s">
        <v>137</v>
      </c>
      <c r="E20" s="9" t="s">
        <v>155</v>
      </c>
    </row>
    <row r="21" spans="1:5" x14ac:dyDescent="0.2">
      <c r="A21" s="17">
        <v>0</v>
      </c>
      <c r="B21" s="12">
        <f>Assumptions!B5*Assumptions!B18*A21/365</f>
        <v>0</v>
      </c>
      <c r="C21" s="12">
        <f>Assumptions!B22-Assumptions!B39-Assumptions!B40-B21</f>
        <v>276.90750000000003</v>
      </c>
      <c r="D21" s="12">
        <f>C21*Assumptions!B6</f>
        <v>7199.5950000000012</v>
      </c>
      <c r="E21" s="14" t="s">
        <v>161</v>
      </c>
    </row>
    <row r="22" spans="1:5" x14ac:dyDescent="0.2">
      <c r="A22" s="17">
        <v>15</v>
      </c>
      <c r="B22" s="12">
        <f>Assumptions!B5*Assumptions!B18*A22/365</f>
        <v>128.21917808219177</v>
      </c>
      <c r="C22" s="12">
        <f>Assumptions!B22-Assumptions!B39-Assumptions!B40-B22</f>
        <v>148.68832191780825</v>
      </c>
      <c r="D22" s="12">
        <f>C22*Assumptions!B6</f>
        <v>3865.8963698630146</v>
      </c>
      <c r="E22" s="14" t="s">
        <v>161</v>
      </c>
    </row>
    <row r="23" spans="1:5" x14ac:dyDescent="0.2">
      <c r="A23" s="17">
        <v>30</v>
      </c>
      <c r="B23" s="12">
        <f>Assumptions!B5*Assumptions!B18*A23/365</f>
        <v>256.43835616438355</v>
      </c>
      <c r="C23" s="12">
        <f>Assumptions!B22-Assumptions!B39-Assumptions!B40-B23</f>
        <v>20.469143835616478</v>
      </c>
      <c r="D23" s="12">
        <f>C23*Assumptions!B6</f>
        <v>532.19773972602843</v>
      </c>
      <c r="E23" s="14" t="s">
        <v>161</v>
      </c>
    </row>
    <row r="24" spans="1:5" x14ac:dyDescent="0.2">
      <c r="A24" s="17">
        <v>45</v>
      </c>
      <c r="B24" s="12">
        <f>Assumptions!B5*Assumptions!B18*A24/365</f>
        <v>384.65753424657532</v>
      </c>
      <c r="C24" s="12">
        <f>Assumptions!B22-Assumptions!B39-Assumptions!B40-B24</f>
        <v>-107.7500342465753</v>
      </c>
      <c r="D24" s="12">
        <f>C24*Assumptions!B6</f>
        <v>-2801.5008904109577</v>
      </c>
      <c r="E24" s="14" t="s">
        <v>161</v>
      </c>
    </row>
    <row r="25" spans="1:5" x14ac:dyDescent="0.2">
      <c r="A25" s="17">
        <v>60</v>
      </c>
      <c r="B25" s="12">
        <f>Assumptions!B5*Assumptions!B18*A25/365</f>
        <v>512.8767123287671</v>
      </c>
      <c r="C25" s="12">
        <f>Assumptions!B22-Assumptions!B39-Assumptions!B40-B25</f>
        <v>-235.96921232876707</v>
      </c>
      <c r="D25" s="12">
        <f>C25*Assumptions!B6</f>
        <v>-6135.1995205479434</v>
      </c>
      <c r="E25" s="14" t="s">
        <v>161</v>
      </c>
    </row>
    <row r="26" spans="1:5" x14ac:dyDescent="0.2">
      <c r="A26" s="17">
        <v>75</v>
      </c>
      <c r="B26" s="12">
        <f>Assumptions!B5*Assumptions!B18*A26/365</f>
        <v>641.09589041095887</v>
      </c>
      <c r="C26" s="12">
        <f>Assumptions!B22-Assumptions!B39-Assumptions!B40-B26</f>
        <v>-364.18839041095885</v>
      </c>
      <c r="D26" s="12">
        <f>C26*Assumptions!B6</f>
        <v>-9468.8981506849304</v>
      </c>
      <c r="E26" s="14" t="s">
        <v>161</v>
      </c>
    </row>
    <row r="27" spans="1:5" x14ac:dyDescent="0.2">
      <c r="A27" s="17">
        <v>90</v>
      </c>
      <c r="B27" s="12">
        <f>Assumptions!B5*Assumptions!B18*A27/365</f>
        <v>769.31506849315065</v>
      </c>
      <c r="C27" s="12">
        <f>Assumptions!B22-Assumptions!B39-Assumptions!B40-B27</f>
        <v>-492.40756849315062</v>
      </c>
      <c r="D27" s="12">
        <f>C27*Assumptions!B6</f>
        <v>-12802.596780821916</v>
      </c>
      <c r="E27" s="14" t="s">
        <v>161</v>
      </c>
    </row>
    <row r="30" spans="1:5" x14ac:dyDescent="0.2">
      <c r="A30" s="30" t="s">
        <v>162</v>
      </c>
      <c r="B30" s="20"/>
      <c r="C30" s="20"/>
      <c r="D30" s="20"/>
      <c r="E30" s="20"/>
    </row>
    <row r="31" spans="1:5" ht="32" x14ac:dyDescent="0.2">
      <c r="A31" s="9" t="s">
        <v>132</v>
      </c>
      <c r="B31" s="9" t="s">
        <v>136</v>
      </c>
      <c r="C31" s="9" t="s">
        <v>137</v>
      </c>
      <c r="D31" s="9" t="s">
        <v>155</v>
      </c>
    </row>
    <row r="32" spans="1:5" x14ac:dyDescent="0.2">
      <c r="A32" s="18">
        <v>500</v>
      </c>
      <c r="B32" s="12">
        <f>A32-Assumptions!B39-Assumptions!B40-Assumptions!B41</f>
        <v>-357.7500342465753</v>
      </c>
      <c r="C32" s="12">
        <f>B32*Assumptions!B6</f>
        <v>-9301.5008904109582</v>
      </c>
      <c r="D32" s="14" t="s">
        <v>163</v>
      </c>
    </row>
    <row r="33" spans="1:4" x14ac:dyDescent="0.2">
      <c r="A33" s="18">
        <v>650</v>
      </c>
      <c r="B33" s="12">
        <f>A33-Assumptions!B39-Assumptions!B40-Assumptions!B41</f>
        <v>-207.7500342465753</v>
      </c>
      <c r="C33" s="12">
        <f>B33*Assumptions!B6</f>
        <v>-5401.5008904109582</v>
      </c>
      <c r="D33" s="14" t="s">
        <v>163</v>
      </c>
    </row>
    <row r="34" spans="1:4" x14ac:dyDescent="0.2">
      <c r="A34" s="18">
        <v>750</v>
      </c>
      <c r="B34" s="12">
        <f>A34-Assumptions!B39-Assumptions!B40-Assumptions!B41</f>
        <v>-107.7500342465753</v>
      </c>
      <c r="C34" s="12">
        <f>B34*Assumptions!B6</f>
        <v>-2801.5008904109577</v>
      </c>
      <c r="D34" s="14" t="s">
        <v>163</v>
      </c>
    </row>
    <row r="35" spans="1:4" x14ac:dyDescent="0.2">
      <c r="A35" s="18">
        <v>850</v>
      </c>
      <c r="B35" s="12">
        <f>A35-Assumptions!B39-Assumptions!B40-Assumptions!B41</f>
        <v>-7.7500342465752965</v>
      </c>
      <c r="C35" s="12">
        <f>B35*Assumptions!B6</f>
        <v>-201.50089041095771</v>
      </c>
      <c r="D35" s="14" t="s">
        <v>163</v>
      </c>
    </row>
    <row r="36" spans="1:4" x14ac:dyDescent="0.2">
      <c r="A36" s="18">
        <v>1000</v>
      </c>
      <c r="B36" s="12">
        <f>A36-Assumptions!B39-Assumptions!B40-Assumptions!B41</f>
        <v>142.2499657534247</v>
      </c>
      <c r="C36" s="12">
        <f>B36*Assumptions!B6</f>
        <v>3698.4991095890423</v>
      </c>
      <c r="D36" s="14" t="s">
        <v>163</v>
      </c>
    </row>
    <row r="37" spans="1:4" x14ac:dyDescent="0.2">
      <c r="A37" s="18">
        <v>1200</v>
      </c>
      <c r="B37" s="12">
        <f>A37-Assumptions!B39-Assumptions!B40-Assumptions!B41</f>
        <v>342.2499657534247</v>
      </c>
      <c r="C37" s="12">
        <f>B37*Assumptions!B6</f>
        <v>8898.4991095890418</v>
      </c>
      <c r="D37" s="14" t="s">
        <v>163</v>
      </c>
    </row>
  </sheetData>
  <mergeCells count="5">
    <mergeCell ref="A30:E30"/>
    <mergeCell ref="A2:E2"/>
    <mergeCell ref="A19:E19"/>
    <mergeCell ref="A1:E1"/>
    <mergeCell ref="A3:E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showGridLines="0" zoomScale="90" workbookViewId="0">
      <pane ySplit="4" topLeftCell="A5" activePane="bottomLeft" state="frozen"/>
      <selection pane="bottomLeft" sqref="A1:C1"/>
    </sheetView>
  </sheetViews>
  <sheetFormatPr baseColWidth="10" defaultColWidth="8.83203125" defaultRowHeight="15" x14ac:dyDescent="0.2"/>
  <cols>
    <col min="1" max="1" width="34" customWidth="1"/>
    <col min="2" max="2" width="92" customWidth="1"/>
    <col min="3" max="3" width="28" customWidth="1"/>
  </cols>
  <sheetData>
    <row r="1" spans="1:3" ht="24" x14ac:dyDescent="0.2">
      <c r="A1" s="41" t="s">
        <v>164</v>
      </c>
      <c r="B1" s="20"/>
      <c r="C1" s="20"/>
    </row>
    <row r="2" spans="1:3" x14ac:dyDescent="0.2">
      <c r="A2" s="43" t="s">
        <v>165</v>
      </c>
      <c r="B2" s="20"/>
      <c r="C2" s="20"/>
    </row>
    <row r="3" spans="1:3" x14ac:dyDescent="0.2">
      <c r="A3" s="42" t="s">
        <v>166</v>
      </c>
      <c r="B3" s="20"/>
      <c r="C3" s="20"/>
    </row>
    <row r="5" spans="1:3" ht="16" x14ac:dyDescent="0.2">
      <c r="A5" s="9" t="s">
        <v>167</v>
      </c>
      <c r="B5" s="9" t="s">
        <v>168</v>
      </c>
      <c r="C5" s="9" t="s">
        <v>169</v>
      </c>
    </row>
    <row r="6" spans="1:3" ht="17" x14ac:dyDescent="0.2">
      <c r="A6" s="10" t="s">
        <v>170</v>
      </c>
      <c r="B6" s="16" t="s">
        <v>171</v>
      </c>
      <c r="C6" s="10" t="s">
        <v>172</v>
      </c>
    </row>
    <row r="7" spans="1:3" ht="34" x14ac:dyDescent="0.2">
      <c r="A7" s="10" t="s">
        <v>173</v>
      </c>
      <c r="B7" s="16" t="s">
        <v>174</v>
      </c>
      <c r="C7" s="10" t="s">
        <v>175</v>
      </c>
    </row>
    <row r="8" spans="1:3" ht="34" x14ac:dyDescent="0.2">
      <c r="A8" s="10" t="s">
        <v>176</v>
      </c>
      <c r="B8" s="16" t="s">
        <v>177</v>
      </c>
      <c r="C8" s="10" t="s">
        <v>178</v>
      </c>
    </row>
    <row r="9" spans="1:3" ht="34" x14ac:dyDescent="0.2">
      <c r="A9" s="10" t="s">
        <v>179</v>
      </c>
      <c r="B9" s="16" t="s">
        <v>180</v>
      </c>
      <c r="C9" s="10" t="s">
        <v>181</v>
      </c>
    </row>
    <row r="10" spans="1:3" ht="34" x14ac:dyDescent="0.2">
      <c r="A10" s="10" t="s">
        <v>182</v>
      </c>
      <c r="B10" s="16" t="s">
        <v>183</v>
      </c>
      <c r="C10" s="10" t="s">
        <v>184</v>
      </c>
    </row>
    <row r="11" spans="1:3" ht="17" x14ac:dyDescent="0.2">
      <c r="A11" s="10" t="s">
        <v>185</v>
      </c>
      <c r="B11" s="16" t="s">
        <v>186</v>
      </c>
      <c r="C11" s="10" t="s">
        <v>187</v>
      </c>
    </row>
    <row r="12" spans="1:3" ht="34" x14ac:dyDescent="0.2">
      <c r="A12" s="10" t="s">
        <v>188</v>
      </c>
      <c r="B12" s="16" t="s">
        <v>189</v>
      </c>
      <c r="C12" s="10" t="s">
        <v>190</v>
      </c>
    </row>
    <row r="13" spans="1:3" ht="17" x14ac:dyDescent="0.2">
      <c r="A13" s="10" t="s">
        <v>191</v>
      </c>
      <c r="B13" s="16" t="s">
        <v>192</v>
      </c>
      <c r="C13" s="10" t="s">
        <v>193</v>
      </c>
    </row>
    <row r="14" spans="1:3" ht="34" x14ac:dyDescent="0.2">
      <c r="A14" s="10" t="s">
        <v>194</v>
      </c>
      <c r="B14" s="16" t="s">
        <v>195</v>
      </c>
      <c r="C14" s="10" t="s">
        <v>196</v>
      </c>
    </row>
    <row r="15" spans="1:3" ht="17" x14ac:dyDescent="0.2">
      <c r="A15" s="10" t="s">
        <v>197</v>
      </c>
      <c r="B15" s="16" t="s">
        <v>198</v>
      </c>
      <c r="C15" s="10" t="s">
        <v>199</v>
      </c>
    </row>
    <row r="16" spans="1:3" ht="51" x14ac:dyDescent="0.2">
      <c r="A16" s="10" t="s">
        <v>200</v>
      </c>
      <c r="B16" s="16" t="s">
        <v>201</v>
      </c>
      <c r="C16" s="10" t="s">
        <v>202</v>
      </c>
    </row>
    <row r="17" spans="1:3" ht="51" x14ac:dyDescent="0.2">
      <c r="A17" s="10" t="s">
        <v>203</v>
      </c>
      <c r="B17" s="16" t="s">
        <v>204</v>
      </c>
      <c r="C17" s="10" t="s">
        <v>202</v>
      </c>
    </row>
    <row r="18" spans="1:3" ht="17" x14ac:dyDescent="0.2">
      <c r="A18" s="10" t="s">
        <v>205</v>
      </c>
      <c r="B18" s="16" t="s">
        <v>206</v>
      </c>
      <c r="C18" s="10" t="s">
        <v>207</v>
      </c>
    </row>
    <row r="19" spans="1:3" ht="17" x14ac:dyDescent="0.2">
      <c r="A19" s="10" t="s">
        <v>208</v>
      </c>
      <c r="B19" s="16" t="s">
        <v>209</v>
      </c>
      <c r="C19" s="10" t="s">
        <v>210</v>
      </c>
    </row>
    <row r="20" spans="1:3" ht="17" x14ac:dyDescent="0.2">
      <c r="A20" s="10" t="s">
        <v>211</v>
      </c>
      <c r="B20" s="16" t="s">
        <v>212</v>
      </c>
      <c r="C20" s="10" t="s">
        <v>213</v>
      </c>
    </row>
    <row r="21" spans="1:3" ht="34" x14ac:dyDescent="0.2">
      <c r="A21" s="10" t="s">
        <v>214</v>
      </c>
      <c r="B21" s="16" t="s">
        <v>215</v>
      </c>
      <c r="C21" s="10" t="s">
        <v>216</v>
      </c>
    </row>
    <row r="22" spans="1:3" ht="34" x14ac:dyDescent="0.2">
      <c r="A22" s="10" t="s">
        <v>217</v>
      </c>
      <c r="B22" s="16" t="s">
        <v>218</v>
      </c>
      <c r="C22" s="10" t="s">
        <v>219</v>
      </c>
    </row>
    <row r="23" spans="1:3" ht="34" x14ac:dyDescent="0.2">
      <c r="A23" s="10" t="s">
        <v>220</v>
      </c>
      <c r="B23" s="16" t="s">
        <v>221</v>
      </c>
      <c r="C23" s="10" t="s">
        <v>219</v>
      </c>
    </row>
  </sheetData>
  <mergeCells count="3">
    <mergeCell ref="A1:C1"/>
    <mergeCell ref="A3:C3"/>
    <mergeCell ref="A2:C2"/>
  </mergeCells>
  <hyperlinks>
    <hyperlink ref="B6" r:id="rId1" xr:uid="{00000000-0004-0000-0500-000000000000}"/>
    <hyperlink ref="B7" r:id="rId2" xr:uid="{00000000-0004-0000-0500-000001000000}"/>
    <hyperlink ref="B8" r:id="rId3" xr:uid="{00000000-0004-0000-0500-000002000000}"/>
    <hyperlink ref="B9" r:id="rId4" xr:uid="{00000000-0004-0000-0500-000003000000}"/>
    <hyperlink ref="B10" r:id="rId5" xr:uid="{00000000-0004-0000-0500-000004000000}"/>
    <hyperlink ref="B11" r:id="rId6" xr:uid="{00000000-0004-0000-0500-000005000000}"/>
    <hyperlink ref="B12" r:id="rId7" xr:uid="{00000000-0004-0000-0500-000006000000}"/>
    <hyperlink ref="B13" r:id="rId8" xr:uid="{00000000-0004-0000-0500-000007000000}"/>
    <hyperlink ref="B14" r:id="rId9" xr:uid="{00000000-0004-0000-0500-000008000000}"/>
    <hyperlink ref="B15" r:id="rId10" xr:uid="{00000000-0004-0000-0500-000009000000}"/>
    <hyperlink ref="B16" r:id="rId11" xr:uid="{00000000-0004-0000-0500-00000A000000}"/>
    <hyperlink ref="B17" r:id="rId12" xr:uid="{00000000-0004-0000-0500-00000B000000}"/>
    <hyperlink ref="B18" r:id="rId13" xr:uid="{00000000-0004-0000-0500-00000C000000}"/>
    <hyperlink ref="B19" r:id="rId14" xr:uid="{00000000-0004-0000-0500-00000D000000}"/>
    <hyperlink ref="B20" r:id="rId15" xr:uid="{00000000-0004-0000-0500-00000E000000}"/>
    <hyperlink ref="B21" r:id="rId16" xr:uid="{00000000-0004-0000-0500-00000F000000}"/>
    <hyperlink ref="B22" r:id="rId17" xr:uid="{00000000-0004-0000-0500-000010000000}"/>
    <hyperlink ref="B23" r:id="rId18" xr:uid="{00000000-0004-0000-0500-00001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Assumptions</vt:lpstr>
      <vt:lpstr>DrugModel</vt:lpstr>
      <vt:lpstr>OpMargin</vt:lpstr>
      <vt:lpstr>Sensitivity</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Stewart</cp:lastModifiedBy>
  <dcterms:created xsi:type="dcterms:W3CDTF">2026-04-09T02:40:32Z</dcterms:created>
  <dcterms:modified xsi:type="dcterms:W3CDTF">2026-04-09T12:08:38Z</dcterms:modified>
</cp:coreProperties>
</file>