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00" windowWidth="34200" windowHeight="19900" tabRatio="600" firstSheet="0" activeTab="4" autoFilterDateGrouping="1"/>
  </bookViews>
  <sheets>
    <sheet xmlns:r="http://schemas.openxmlformats.org/officeDocument/2006/relationships" name="Instructions" sheetId="1" state="visible" r:id="rId1"/>
    <sheet xmlns:r="http://schemas.openxmlformats.org/officeDocument/2006/relationships" name="Core Assumptions" sheetId="2" state="visible" r:id="rId2"/>
    <sheet xmlns:r="http://schemas.openxmlformats.org/officeDocument/2006/relationships" name="Scenario Selector" sheetId="3" state="visible" r:id="rId3"/>
    <sheet xmlns:r="http://schemas.openxmlformats.org/officeDocument/2006/relationships" name="Calculation Engine" sheetId="4" state="visible" r:id="rId4"/>
    <sheet xmlns:r="http://schemas.openxmlformats.org/officeDocument/2006/relationships" name="ARM Output" sheetId="5" state="visible" r:id="rId5"/>
    <sheet xmlns:r="http://schemas.openxmlformats.org/officeDocument/2006/relationships" name="Appendix Assumptions" sheetId="6" state="visible" r:id="rId6"/>
  </sheets>
  <definedNames/>
  <calcPr calcId="191029" fullCalcOnLoad="1"/>
</workbook>
</file>

<file path=xl/styles.xml><?xml version="1.0" encoding="utf-8"?>
<styleSheet xmlns="http://schemas.openxmlformats.org/spreadsheetml/2006/main">
  <numFmts count="4">
    <numFmt numFmtId="164" formatCode="0.0%"/>
    <numFmt numFmtId="165" formatCode="m/d/yyyy"/>
    <numFmt numFmtId="166" formatCode="\$#,##0"/>
    <numFmt numFmtId="167" formatCode="\$#,##0.00"/>
  </numFmts>
  <fonts count="9">
    <font>
      <name val="Carlito"/>
      <sz val="11"/>
    </font>
    <font>
      <name val="Carlito"/>
      <b val="1"/>
      <color rgb="FFFFFFFF"/>
      <sz val="13"/>
    </font>
    <font>
      <name val="Carlito"/>
      <b val="1"/>
      <color rgb="FF1B1B1B"/>
      <sz val="11"/>
    </font>
    <font>
      <name val="Carlito"/>
      <b val="1"/>
      <color rgb="FFFFFFFF"/>
      <sz val="11"/>
    </font>
    <font>
      <name val="Carlito"/>
      <color rgb="FF111111"/>
      <sz val="11"/>
    </font>
    <font>
      <name val="Carlito"/>
      <b val="1"/>
      <color rgb="FF111111"/>
      <sz val="11"/>
    </font>
    <font>
      <name val="Carlito"/>
      <i val="1"/>
      <color rgb="FF333333"/>
      <sz val="11"/>
    </font>
    <font>
      <name val="Carlito"/>
      <color rgb="FF333333"/>
      <sz val="9"/>
    </font>
    <font>
      <name val="Carlito"/>
      <b val="1"/>
      <sz val="11"/>
    </font>
  </fonts>
  <fills count="10">
    <fill>
      <patternFill/>
    </fill>
    <fill>
      <patternFill patternType="gray125"/>
    </fill>
    <fill>
      <patternFill patternType="solid">
        <fgColor rgb="FF0F2E4E"/>
      </patternFill>
    </fill>
    <fill>
      <patternFill patternType="solid">
        <fgColor rgb="FFDCE6F1"/>
      </patternFill>
    </fill>
    <fill>
      <patternFill patternType="solid">
        <fgColor rgb="FF1F4E78"/>
      </patternFill>
    </fill>
    <fill>
      <patternFill patternType="solid">
        <fgColor rgb="FFFFF2CC"/>
      </patternFill>
    </fill>
    <fill>
      <patternFill patternType="solid">
        <fgColor rgb="FFEDEDED"/>
      </patternFill>
    </fill>
    <fill>
      <patternFill patternType="solid">
        <fgColor rgb="FFF7F7F7"/>
      </patternFill>
    </fill>
    <fill>
      <patternFill patternType="solid">
        <fgColor rgb="FF1F4E78"/>
      </patternFill>
    </fill>
    <fill>
      <patternFill patternType="solid">
        <fgColor rgb="FFDCE6F1"/>
      </patternFill>
    </fill>
  </fills>
  <borders count="2">
    <border>
      <left/>
      <right/>
      <top/>
      <bottom/>
      <diagonal/>
    </border>
    <border>
      <left/>
      <right/>
      <top/>
      <bottom/>
      <diagonal/>
    </border>
  </borders>
  <cellStyleXfs count="1">
    <xf numFmtId="0" fontId="0" fillId="0" borderId="1"/>
  </cellStyleXfs>
  <cellXfs count="71">
    <xf numFmtId="0" fontId="0" fillId="0" borderId="0" pivotButton="0" quotePrefix="0" xfId="0"/>
    <xf numFmtId="0" fontId="0" fillId="0" borderId="0" applyAlignment="1" pivotButton="0" quotePrefix="0" xfId="0">
      <alignment wrapText="1"/>
    </xf>
    <xf numFmtId="0" fontId="2" fillId="3" borderId="0" applyAlignment="1" pivotButton="0" quotePrefix="0" xfId="0">
      <alignment wrapText="1"/>
    </xf>
    <xf numFmtId="0" fontId="0" fillId="0" borderId="0" applyAlignment="1" pivotButton="0" quotePrefix="0" xfId="0">
      <alignment vertical="top"/>
    </xf>
    <xf numFmtId="0" fontId="2" fillId="3" borderId="0" applyAlignment="1" pivotButton="0" quotePrefix="0" xfId="0">
      <alignment vertical="top"/>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horizontal="left" vertical="center"/>
    </xf>
    <xf numFmtId="0" fontId="4" fillId="5" borderId="0" pivotButton="0" quotePrefix="0" xfId="0"/>
    <xf numFmtId="0" fontId="3" fillId="4" borderId="1" applyAlignment="1" pivotButton="0" quotePrefix="0" xfId="0">
      <alignment horizontal="left" vertical="center"/>
    </xf>
    <xf numFmtId="0" fontId="0" fillId="0" borderId="1" pivotButton="0" quotePrefix="0" xfId="0"/>
    <xf numFmtId="164" fontId="4" fillId="6" borderId="1" pivotButton="0" quotePrefix="0" xfId="0"/>
    <xf numFmtId="165" fontId="0" fillId="0" borderId="1" pivotButton="0" quotePrefix="0" xfId="0"/>
    <xf numFmtId="0" fontId="3" fillId="4" borderId="1" applyAlignment="1" pivotButton="0" quotePrefix="0" xfId="0">
      <alignment horizontal="left" vertical="center" wrapText="1"/>
    </xf>
    <xf numFmtId="0" fontId="0" fillId="0" borderId="1" applyAlignment="1" pivotButton="0" quotePrefix="0" xfId="0">
      <alignment wrapText="1"/>
    </xf>
    <xf numFmtId="166" fontId="0" fillId="0" borderId="1" applyAlignment="1" pivotButton="0" quotePrefix="0" xfId="0">
      <alignment wrapText="1"/>
    </xf>
    <xf numFmtId="4" fontId="0" fillId="0" borderId="1" applyAlignment="1" pivotButton="0" quotePrefix="0" xfId="0">
      <alignment wrapText="1"/>
    </xf>
    <xf numFmtId="166" fontId="4" fillId="6" borderId="1" applyAlignment="1" pivotButton="0" quotePrefix="0" xfId="0">
      <alignment wrapText="1"/>
    </xf>
    <xf numFmtId="164" fontId="4" fillId="6" borderId="1" applyAlignment="1" pivotButton="0" quotePrefix="0" xfId="0">
      <alignment wrapText="1"/>
    </xf>
    <xf numFmtId="165" fontId="0" fillId="0" borderId="1" applyAlignment="1" pivotButton="0" quotePrefix="0" xfId="0">
      <alignment wrapText="1"/>
    </xf>
    <xf numFmtId="4" fontId="3" fillId="4" borderId="1" applyAlignment="1" pivotButton="0" quotePrefix="0" xfId="0">
      <alignment horizontal="left" vertical="center" wrapText="1"/>
    </xf>
    <xf numFmtId="164" fontId="4" fillId="5" borderId="1" applyAlignment="1" pivotButton="0" quotePrefix="0" xfId="0">
      <alignment wrapText="1"/>
    </xf>
    <xf numFmtId="4" fontId="4" fillId="5" borderId="1" applyAlignment="1" pivotButton="0" quotePrefix="0" xfId="0">
      <alignment wrapText="1"/>
    </xf>
    <xf numFmtId="0" fontId="4" fillId="5" borderId="1" pivotButton="0" quotePrefix="0" xfId="0"/>
    <xf numFmtId="0" fontId="4" fillId="6" borderId="1" pivotButton="0" quotePrefix="0" xfId="0"/>
    <xf numFmtId="0" fontId="5" fillId="6" borderId="1" pivotButton="0" quotePrefix="0" xfId="0"/>
    <xf numFmtId="49" fontId="4" fillId="6" borderId="1" pivotButton="0" quotePrefix="0" xfId="0"/>
    <xf numFmtId="1" fontId="4" fillId="6" borderId="1" pivotButton="0" quotePrefix="0" xfId="0"/>
    <xf numFmtId="167" fontId="4" fillId="6" borderId="1" pivotButton="0" quotePrefix="0" xfId="0"/>
    <xf numFmtId="0" fontId="5" fillId="6" borderId="1" applyAlignment="1" pivotButton="0" quotePrefix="0" xfId="0">
      <alignment horizontal="left" vertical="center"/>
    </xf>
    <xf numFmtId="2" fontId="4" fillId="6" borderId="1" pivotButton="0" quotePrefix="0" xfId="0"/>
    <xf numFmtId="49" fontId="0" fillId="0" borderId="1" pivotButton="0" quotePrefix="0" xfId="0"/>
    <xf numFmtId="167" fontId="0" fillId="0" borderId="1" pivotButton="0" quotePrefix="0" xfId="0"/>
    <xf numFmtId="1" fontId="0" fillId="0" borderId="1" pivotButton="0" quotePrefix="0" xfId="0"/>
    <xf numFmtId="0" fontId="3" fillId="4" borderId="0" applyAlignment="1" pivotButton="0" quotePrefix="0" xfId="0">
      <alignment horizontal="left" vertical="center" wrapText="1"/>
    </xf>
    <xf numFmtId="167" fontId="4" fillId="6" borderId="0" applyAlignment="1" pivotButton="0" quotePrefix="0" xfId="0">
      <alignment wrapText="1"/>
    </xf>
    <xf numFmtId="164" fontId="4" fillId="6" borderId="0" applyAlignment="1" pivotButton="0" quotePrefix="0" xfId="0">
      <alignment wrapText="1"/>
    </xf>
    <xf numFmtId="164" fontId="4" fillId="5" borderId="0" applyAlignment="1" pivotButton="0" quotePrefix="0" xfId="0">
      <alignment wrapText="1"/>
    </xf>
    <xf numFmtId="1" fontId="4" fillId="5" borderId="0" applyAlignment="1" pivotButton="0" quotePrefix="0" xfId="0">
      <alignment wrapText="1"/>
    </xf>
    <xf numFmtId="166" fontId="4" fillId="5" borderId="0" applyAlignment="1" pivotButton="0" quotePrefix="0" xfId="0">
      <alignment wrapText="1"/>
    </xf>
    <xf numFmtId="0" fontId="3" fillId="8" borderId="0" applyAlignment="1" pivotButton="0" quotePrefix="0" xfId="0">
      <alignment wrapText="1"/>
    </xf>
    <xf numFmtId="0" fontId="8" fillId="9" borderId="0" applyAlignment="1" pivotButton="0" quotePrefix="0" xfId="0">
      <alignment wrapText="1"/>
    </xf>
    <xf numFmtId="164" fontId="0" fillId="0" borderId="0" applyAlignment="1" pivotButton="0" quotePrefix="0" xfId="0">
      <alignment wrapText="1"/>
    </xf>
    <xf numFmtId="166" fontId="0" fillId="0" borderId="0" applyAlignment="1" pivotButton="0" quotePrefix="0" xfId="0">
      <alignment wrapText="1"/>
    </xf>
    <xf numFmtId="1" fontId="0" fillId="0" borderId="0" applyAlignment="1" pivotButton="0" quotePrefix="0" xfId="0">
      <alignment wrapText="1"/>
    </xf>
    <xf numFmtId="0" fontId="1" fillId="2" borderId="0" applyAlignment="1" pivotButton="0" quotePrefix="0" xfId="0">
      <alignment horizontal="left" vertical="top"/>
    </xf>
    <xf numFmtId="0" fontId="0" fillId="0" borderId="0" applyAlignment="1" pivotButton="0" quotePrefix="0" xfId="0">
      <alignment vertical="top" wrapText="1"/>
    </xf>
    <xf numFmtId="0" fontId="0" fillId="0" borderId="0" applyAlignment="1" pivotButton="0" quotePrefix="0" xfId="0">
      <alignment vertical="top"/>
    </xf>
    <xf numFmtId="0" fontId="1" fillId="2" borderId="0" applyAlignment="1" pivotButton="0" quotePrefix="0" xfId="0">
      <alignment horizontal="left" vertical="center" wrapText="1"/>
    </xf>
    <xf numFmtId="0" fontId="1" fillId="2" borderId="0" applyAlignment="1" pivotButton="0" quotePrefix="0" xfId="0">
      <alignment horizontal="left" vertical="center"/>
    </xf>
    <xf numFmtId="0" fontId="0" fillId="0" borderId="1" applyAlignment="1" pivotButton="0" quotePrefix="0" xfId="0">
      <alignment vertical="top" wrapText="1"/>
    </xf>
    <xf numFmtId="0" fontId="7" fillId="7" borderId="0" applyAlignment="1" pivotButton="0" quotePrefix="0" xfId="0">
      <alignment vertical="top" wrapText="1"/>
    </xf>
    <xf numFmtId="0" fontId="6" fillId="7" borderId="0" pivotButton="0" quotePrefix="0" xfId="0"/>
    <xf numFmtId="0" fontId="0" fillId="0" borderId="0" pivotButton="0" quotePrefix="0" xfId="0"/>
    <xf numFmtId="0" fontId="1" fillId="2" borderId="1" applyAlignment="1" pivotButton="0" quotePrefix="0" xfId="0">
      <alignment horizontal="left" vertical="top"/>
    </xf>
    <xf numFmtId="0" fontId="1" fillId="2" borderId="1" applyAlignment="1" pivotButton="0" quotePrefix="0" xfId="0">
      <alignment horizontal="left" vertical="center" wrapText="1"/>
    </xf>
    <xf numFmtId="166" fontId="0" fillId="0" borderId="1" applyAlignment="1" pivotButton="0" quotePrefix="0" xfId="0">
      <alignment wrapText="1"/>
    </xf>
    <xf numFmtId="166" fontId="4" fillId="6" borderId="1" applyAlignment="1" pivotButton="0" quotePrefix="0" xfId="0">
      <alignment wrapText="1"/>
    </xf>
    <xf numFmtId="164" fontId="4" fillId="6" borderId="1" applyAlignment="1" pivotButton="0" quotePrefix="0" xfId="0">
      <alignment wrapText="1"/>
    </xf>
    <xf numFmtId="165" fontId="0" fillId="0" borderId="1" applyAlignment="1" pivotButton="0" quotePrefix="0" xfId="0">
      <alignment wrapText="1"/>
    </xf>
    <xf numFmtId="164" fontId="4" fillId="6" borderId="0" applyAlignment="1" pivotButton="0" quotePrefix="0" xfId="0">
      <alignment wrapText="1"/>
    </xf>
    <xf numFmtId="164" fontId="4" fillId="5" borderId="1" applyAlignment="1" pivotButton="0" quotePrefix="0" xfId="0">
      <alignment wrapText="1"/>
    </xf>
    <xf numFmtId="164" fontId="4" fillId="5" borderId="0" applyAlignment="1" pivotButton="0" quotePrefix="0" xfId="0">
      <alignment wrapText="1"/>
    </xf>
    <xf numFmtId="166" fontId="4" fillId="5" borderId="0" applyAlignment="1" pivotButton="0" quotePrefix="0" xfId="0">
      <alignment wrapText="1"/>
    </xf>
    <xf numFmtId="0" fontId="1" fillId="2" borderId="1" applyAlignment="1" pivotButton="0" quotePrefix="0" xfId="0">
      <alignment horizontal="left" vertical="center"/>
    </xf>
    <xf numFmtId="164" fontId="0" fillId="0" borderId="0" applyAlignment="1" pivotButton="0" quotePrefix="0" xfId="0">
      <alignment wrapText="1"/>
    </xf>
    <xf numFmtId="166" fontId="0" fillId="0" borderId="0" applyAlignment="1" pivotButton="0" quotePrefix="0" xfId="0">
      <alignment wrapText="1"/>
    </xf>
    <xf numFmtId="164" fontId="4" fillId="6" borderId="1" pivotButton="0" quotePrefix="0" xfId="0"/>
    <xf numFmtId="0" fontId="6" fillId="7" borderId="1" pivotButton="0" quotePrefix="0" xfId="0"/>
    <xf numFmtId="165" fontId="0" fillId="0" borderId="1" pivotButton="0" quotePrefix="0" xfId="0"/>
    <xf numFmtId="0" fontId="7" fillId="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showGridLines="0" workbookViewId="0">
      <selection activeCell="A1" sqref="A1:H1"/>
    </sheetView>
  </sheetViews>
  <sheetFormatPr baseColWidth="10" defaultColWidth="8.83203125" defaultRowHeight="14"/>
  <cols>
    <col width="90" customWidth="1" style="53" min="1" max="1"/>
    <col width="24" customWidth="1" style="53" min="2" max="8"/>
  </cols>
  <sheetData>
    <row r="1" ht="17" customHeight="1" s="53">
      <c r="A1" s="54" t="inlineStr">
        <is>
          <t>Adrabetadex Provider Net-Cost Recovery Calculator - Instructions</t>
        </is>
      </c>
    </row>
    <row r="2">
      <c r="A2" s="47" t="n"/>
      <c r="B2" s="47" t="n"/>
      <c r="C2" s="47" t="n"/>
      <c r="D2" s="47" t="n"/>
      <c r="E2" s="47" t="n"/>
      <c r="F2" s="47" t="n"/>
      <c r="G2" s="47" t="n"/>
      <c r="H2" s="47" t="n"/>
    </row>
    <row r="3" ht="15" customHeight="1" s="53">
      <c r="A3" s="4" t="inlineStr">
        <is>
          <t>Purpose</t>
        </is>
      </c>
      <c r="B3" s="4" t="n"/>
      <c r="C3" s="4" t="n"/>
      <c r="D3" s="4" t="n"/>
      <c r="E3" s="4" t="n"/>
      <c r="F3" s="4" t="n"/>
      <c r="G3" s="4" t="n"/>
      <c r="H3" s="4" t="n"/>
    </row>
    <row r="4">
      <c r="A4" s="50" t="inlineStr">
        <is>
          <t>This workbook estimates provider net-cost recovery for Adrabetadex under selected reimbursement, site-of-care, payer, sourcing, and timing scenarios.</t>
        </is>
      </c>
    </row>
    <row r="5">
      <c r="A5" s="46" t="n"/>
      <c r="B5" s="47" t="n"/>
      <c r="C5" s="47" t="n"/>
      <c r="D5" s="47" t="n"/>
      <c r="E5" s="47" t="n"/>
      <c r="F5" s="47" t="n"/>
      <c r="G5" s="47" t="n"/>
      <c r="H5" s="47" t="n"/>
    </row>
    <row r="6" ht="16" customHeight="1" s="53">
      <c r="A6" s="6" t="inlineStr">
        <is>
          <t>Intended Users</t>
        </is>
      </c>
      <c r="B6" s="4" t="n"/>
      <c r="C6" s="4" t="n"/>
      <c r="D6" s="4" t="n"/>
      <c r="E6" s="4" t="n"/>
      <c r="F6" s="4" t="n"/>
      <c r="G6" s="4" t="n"/>
      <c r="H6" s="4" t="n"/>
    </row>
    <row r="7" ht="15" customHeight="1" s="53">
      <c r="A7" s="46" t="inlineStr">
        <is>
          <t>Area Reimbursement Managers</t>
        </is>
      </c>
      <c r="B7" s="47" t="n"/>
      <c r="C7" s="47" t="n"/>
      <c r="D7" s="47" t="n"/>
      <c r="E7" s="47" t="n"/>
      <c r="F7" s="47" t="n"/>
      <c r="G7" s="47" t="n"/>
      <c r="H7" s="47" t="n"/>
    </row>
    <row r="8" ht="15" customHeight="1" s="53">
      <c r="A8" s="46" t="inlineStr">
        <is>
          <t>Provider reimbursement directors</t>
        </is>
      </c>
      <c r="B8" s="47" t="n"/>
      <c r="C8" s="47" t="n"/>
      <c r="D8" s="47" t="n"/>
      <c r="E8" s="47" t="n"/>
      <c r="F8" s="47" t="n"/>
      <c r="G8" s="47" t="n"/>
      <c r="H8" s="47" t="n"/>
    </row>
    <row r="9" ht="15" customHeight="1" s="53">
      <c r="A9" s="46" t="inlineStr">
        <is>
          <t>Revenue cycle teams</t>
        </is>
      </c>
      <c r="B9" s="47" t="n"/>
      <c r="C9" s="47" t="n"/>
      <c r="D9" s="47" t="n"/>
      <c r="E9" s="47" t="n"/>
      <c r="F9" s="47" t="n"/>
      <c r="G9" s="47" t="n"/>
      <c r="H9" s="47" t="n"/>
    </row>
    <row r="10" ht="15" customHeight="1" s="53">
      <c r="A10" s="46" t="inlineStr">
        <is>
          <t>Pharmacy leadership</t>
        </is>
      </c>
      <c r="B10" s="47" t="n"/>
      <c r="C10" s="47" t="n"/>
      <c r="D10" s="47" t="n"/>
      <c r="E10" s="47" t="n"/>
      <c r="F10" s="47" t="n"/>
      <c r="G10" s="47" t="n"/>
      <c r="H10" s="47" t="n"/>
    </row>
    <row r="11" ht="15" customHeight="1" s="53">
      <c r="A11" s="46" t="inlineStr">
        <is>
          <t>Patient access teams</t>
        </is>
      </c>
      <c r="B11" s="47" t="n"/>
      <c r="C11" s="47" t="n"/>
      <c r="D11" s="47" t="n"/>
      <c r="E11" s="47" t="n"/>
      <c r="F11" s="47" t="n"/>
      <c r="G11" s="47" t="n"/>
      <c r="H11" s="47" t="n"/>
    </row>
    <row r="12">
      <c r="A12" s="46" t="n"/>
      <c r="B12" s="47" t="n"/>
      <c r="C12" s="47" t="n"/>
      <c r="D12" s="47" t="n"/>
      <c r="E12" s="47" t="n"/>
      <c r="F12" s="47" t="n"/>
      <c r="G12" s="47" t="n"/>
      <c r="H12" s="47" t="n"/>
    </row>
    <row r="13" ht="16" customHeight="1" s="53">
      <c r="A13" s="6" t="inlineStr">
        <is>
          <t>What the Model Calculates</t>
        </is>
      </c>
      <c r="B13" s="4" t="n"/>
      <c r="C13" s="4" t="n"/>
      <c r="D13" s="4" t="n"/>
      <c r="E13" s="4" t="n"/>
      <c r="F13" s="4" t="n"/>
      <c r="G13" s="4" t="n"/>
      <c r="H13" s="4" t="n"/>
    </row>
    <row r="14" ht="15" customHeight="1" s="53">
      <c r="A14" s="46" t="inlineStr">
        <is>
          <t>drug acquisition cost per administration</t>
        </is>
      </c>
      <c r="B14" s="47" t="n"/>
      <c r="C14" s="47" t="n"/>
      <c r="D14" s="47" t="n"/>
      <c r="E14" s="47" t="n"/>
      <c r="F14" s="47" t="n"/>
      <c r="G14" s="47" t="n"/>
      <c r="H14" s="47" t="n"/>
    </row>
    <row r="15" ht="15" customHeight="1" s="53">
      <c r="A15" s="46" t="inlineStr">
        <is>
          <t>allowed drug reimbursement per administration</t>
        </is>
      </c>
      <c r="B15" s="47" t="n"/>
      <c r="C15" s="47" t="n"/>
      <c r="D15" s="47" t="n"/>
      <c r="E15" s="47" t="n"/>
      <c r="F15" s="47" t="n"/>
      <c r="G15" s="47" t="n"/>
      <c r="H15" s="47" t="n"/>
    </row>
    <row r="16" ht="15" customHeight="1" s="53">
      <c r="A16" s="46" t="inlineStr">
        <is>
          <t>drug spread</t>
        </is>
      </c>
      <c r="B16" s="47" t="n"/>
      <c r="C16" s="47" t="n"/>
      <c r="D16" s="47" t="n"/>
      <c r="E16" s="47" t="n"/>
      <c r="F16" s="47" t="n"/>
      <c r="G16" s="47" t="n"/>
      <c r="H16" s="47" t="n"/>
    </row>
    <row r="17" ht="15" customHeight="1" s="53">
      <c r="A17" s="46" t="inlineStr">
        <is>
          <t>non-drug operating costs</t>
        </is>
      </c>
      <c r="B17" s="47" t="n"/>
      <c r="C17" s="47" t="n"/>
      <c r="D17" s="47" t="n"/>
      <c r="E17" s="47" t="n"/>
      <c r="F17" s="47" t="n"/>
      <c r="G17" s="47" t="n"/>
      <c r="H17" s="47" t="n"/>
    </row>
    <row r="18" ht="15" customHeight="1" s="53">
      <c r="A18" s="46" t="inlineStr">
        <is>
          <t>denial-related drag</t>
        </is>
      </c>
      <c r="B18" s="47" t="n"/>
      <c r="C18" s="47" t="n"/>
      <c r="D18" s="47" t="n"/>
      <c r="E18" s="47" t="n"/>
      <c r="F18" s="47" t="n"/>
      <c r="G18" s="47" t="n"/>
      <c r="H18" s="47" t="n"/>
    </row>
    <row r="19" ht="15" customHeight="1" s="53">
      <c r="A19" s="46" t="inlineStr">
        <is>
          <t>financing drag from payment delay</t>
        </is>
      </c>
      <c r="B19" s="47" t="n"/>
      <c r="C19" s="47" t="n"/>
      <c r="D19" s="47" t="n"/>
      <c r="E19" s="47" t="n"/>
      <c r="F19" s="47" t="n"/>
      <c r="G19" s="47" t="n"/>
      <c r="H19" s="47" t="n"/>
    </row>
    <row r="20" ht="15" customHeight="1" s="53">
      <c r="A20" s="46" t="inlineStr">
        <is>
          <t>net operating margin per administration</t>
        </is>
      </c>
      <c r="B20" s="47" t="n"/>
      <c r="C20" s="47" t="n"/>
      <c r="D20" s="47" t="n"/>
      <c r="E20" s="47" t="n"/>
      <c r="F20" s="47" t="n"/>
      <c r="G20" s="47" t="n"/>
      <c r="H20" s="47" t="n"/>
    </row>
    <row r="21" ht="15" customHeight="1" s="53">
      <c r="A21" s="46" t="inlineStr">
        <is>
          <t>annualized contribution</t>
        </is>
      </c>
      <c r="B21" s="47" t="n"/>
      <c r="C21" s="47" t="n"/>
      <c r="D21" s="47" t="n"/>
      <c r="E21" s="47" t="n"/>
      <c r="F21" s="47" t="n"/>
      <c r="G21" s="47" t="n"/>
      <c r="H21" s="47" t="n"/>
    </row>
    <row r="22" ht="15" customHeight="1" s="53">
      <c r="A22" s="46" t="inlineStr">
        <is>
          <t>cash exposure</t>
        </is>
      </c>
      <c r="B22" s="47" t="n"/>
      <c r="C22" s="47" t="n"/>
      <c r="D22" s="47" t="n"/>
      <c r="E22" s="47" t="n"/>
      <c r="F22" s="47" t="n"/>
      <c r="G22" s="47" t="n"/>
      <c r="H22" s="47" t="n"/>
    </row>
    <row r="23" ht="15" customHeight="1" s="53">
      <c r="A23" s="46" t="inlineStr">
        <is>
          <t>break-even manufacturer support</t>
        </is>
      </c>
      <c r="B23" s="47" t="n"/>
      <c r="C23" s="47" t="n"/>
      <c r="D23" s="47" t="n"/>
      <c r="E23" s="47" t="n"/>
      <c r="F23" s="47" t="n"/>
      <c r="G23" s="47" t="n"/>
      <c r="H23" s="47" t="n"/>
    </row>
    <row r="24">
      <c r="A24" s="46" t="n"/>
      <c r="B24" s="47" t="n"/>
      <c r="C24" s="47" t="n"/>
      <c r="D24" s="47" t="n"/>
      <c r="E24" s="47" t="n"/>
      <c r="F24" s="47" t="n"/>
      <c r="G24" s="47" t="n"/>
      <c r="H24" s="47" t="n"/>
    </row>
    <row r="25" ht="16" customHeight="1" s="53">
      <c r="A25" s="6" t="inlineStr">
        <is>
          <t>Fixed vs Editable Fields</t>
        </is>
      </c>
      <c r="B25" s="4" t="n"/>
      <c r="C25" s="4" t="n"/>
      <c r="D25" s="4" t="n"/>
      <c r="E25" s="4" t="n"/>
      <c r="F25" s="4" t="n"/>
      <c r="G25" s="4" t="n"/>
      <c r="H25" s="4" t="n"/>
    </row>
    <row r="26" ht="15" customHeight="1" s="53">
      <c r="A26" s="46" t="inlineStr">
        <is>
          <t>Fixed assumptions are core launch assumptions.</t>
        </is>
      </c>
      <c r="B26" s="47" t="n"/>
      <c r="C26" s="47" t="n"/>
      <c r="D26" s="47" t="n"/>
      <c r="E26" s="47" t="n"/>
      <c r="F26" s="47" t="n"/>
      <c r="G26" s="47" t="n"/>
      <c r="H26" s="47" t="n"/>
    </row>
    <row r="27" ht="15" customHeight="1" s="53">
      <c r="A27" s="46" t="inlineStr">
        <is>
          <t>Editable fields are site-, payer-, and scenario-specific.</t>
        </is>
      </c>
      <c r="B27" s="47" t="n"/>
      <c r="C27" s="47" t="n"/>
      <c r="D27" s="47" t="n"/>
      <c r="E27" s="47" t="n"/>
      <c r="F27" s="47" t="n"/>
      <c r="G27" s="47" t="n"/>
      <c r="H27" s="47" t="n"/>
    </row>
    <row r="28" ht="15" customHeight="1" s="53">
      <c r="A28" s="46" t="inlineStr">
        <is>
          <t>Formula cells are not for field-user editing.</t>
        </is>
      </c>
      <c r="B28" s="47" t="n"/>
      <c r="C28" s="47" t="n"/>
      <c r="D28" s="47" t="n"/>
      <c r="E28" s="47" t="n"/>
      <c r="F28" s="47" t="n"/>
      <c r="G28" s="47" t="n"/>
      <c r="H28" s="47" t="n"/>
    </row>
    <row r="29">
      <c r="A29" s="46" t="n"/>
      <c r="B29" s="47" t="n"/>
      <c r="C29" s="47" t="n"/>
      <c r="D29" s="47" t="n"/>
      <c r="E29" s="47" t="n"/>
      <c r="F29" s="47" t="n"/>
      <c r="G29" s="47" t="n"/>
      <c r="H29" s="47" t="n"/>
    </row>
    <row r="30" ht="16" customHeight="1" s="53">
      <c r="A30" s="6" t="inlineStr">
        <is>
          <t>Disclaimer</t>
        </is>
      </c>
      <c r="B30" s="4" t="n"/>
      <c r="C30" s="4" t="n"/>
      <c r="D30" s="4" t="n"/>
      <c r="E30" s="4" t="n"/>
      <c r="F30" s="4" t="n"/>
      <c r="G30" s="4" t="n"/>
      <c r="H30" s="4" t="n"/>
    </row>
    <row r="31">
      <c r="A31" s="50" t="inlineStr">
        <is>
          <t>This workbook is for planning and educational purposes only. It does not guarantee coverage, coding, payment, or reimbursement. Providers are responsible for selecting appropriate codes, documenting services, and confirming payer-specific billing and reimbursement rules. Results are estimates based on entered assumptions and may vary by payer, contract, state Medicaid program, site of care, coding status, 340B treatment, and claim outcome.</t>
        </is>
      </c>
    </row>
    <row r="32"/>
    <row r="33"/>
    <row r="34"/>
  </sheetData>
  <mergeCells count="3">
    <mergeCell ref="A4:H4"/>
    <mergeCell ref="A31:H34"/>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56"/>
  <sheetViews>
    <sheetView showGridLines="0" topLeftCell="A13" workbookViewId="0">
      <selection activeCell="A1" sqref="A1:H1"/>
    </sheetView>
  </sheetViews>
  <sheetFormatPr baseColWidth="10" defaultColWidth="8.83203125" defaultRowHeight="14"/>
  <cols>
    <col width="42" customWidth="1" style="53" min="1" max="1"/>
    <col width="24" customWidth="1" style="53" min="2" max="2"/>
    <col width="24" customWidth="1" style="53" min="4" max="5"/>
  </cols>
  <sheetData>
    <row r="1" ht="17" customHeight="1" s="53">
      <c r="A1" s="55" t="inlineStr">
        <is>
          <t>Core Assumptions</t>
        </is>
      </c>
    </row>
    <row r="2">
      <c r="A2" s="1" t="n"/>
      <c r="B2" s="1" t="n"/>
    </row>
    <row r="3" ht="16" customHeight="1" s="53">
      <c r="A3" s="13" t="inlineStr">
        <is>
          <t>Fixed Assumptions</t>
        </is>
      </c>
      <c r="B3" s="13" t="inlineStr">
        <is>
          <t>Value</t>
        </is>
      </c>
      <c r="D3" s="7" t="inlineStr">
        <is>
          <t>Dropdown Lists</t>
        </is>
      </c>
      <c r="E3" s="7" t="inlineStr">
        <is>
          <t>Values</t>
        </is>
      </c>
    </row>
    <row r="4" ht="15" customHeight="1" s="53">
      <c r="A4" s="14" t="inlineStr">
        <is>
          <t>Vial size</t>
        </is>
      </c>
      <c r="B4" s="14" t="inlineStr">
        <is>
          <t>900 mg</t>
        </is>
      </c>
      <c r="D4" t="inlineStr">
        <is>
          <t>siteOfCare</t>
        </is>
      </c>
      <c r="E4" t="inlineStr">
        <is>
          <t>HOPD</t>
        </is>
      </c>
    </row>
    <row r="5" ht="15" customHeight="1" s="53">
      <c r="A5" s="14" t="inlineStr">
        <is>
          <t>Launch WAC per vial</t>
        </is>
      </c>
      <c r="B5" s="56" t="n">
        <v>39000</v>
      </c>
      <c r="E5" t="inlineStr">
        <is>
          <t>Physician Office</t>
        </is>
      </c>
    </row>
    <row r="6" ht="15" customHeight="1" s="53">
      <c r="A6" s="14" t="inlineStr">
        <is>
          <t>Dosing cadence</t>
        </is>
      </c>
      <c r="B6" s="16" t="inlineStr">
        <is>
          <t>Every 2 weeks</t>
        </is>
      </c>
      <c r="E6" t="inlineStr">
        <is>
          <t>Other</t>
        </is>
      </c>
    </row>
    <row r="7" ht="15" customHeight="1" s="53">
      <c r="A7" s="14" t="inlineStr">
        <is>
          <t>Dosing interval weeks</t>
        </is>
      </c>
      <c r="B7" s="16" t="n">
        <v>2</v>
      </c>
    </row>
    <row r="8" ht="15" customHeight="1" s="53">
      <c r="A8" s="14" t="inlineStr">
        <is>
          <t>Administrations per year</t>
        </is>
      </c>
      <c r="B8" s="16" t="n">
        <v>26</v>
      </c>
      <c r="D8" t="inlineStr">
        <is>
          <t>yesNo</t>
        </is>
      </c>
      <c r="E8" t="inlineStr">
        <is>
          <t>Yes</t>
        </is>
      </c>
    </row>
    <row r="9" ht="15" customHeight="1" s="53">
      <c r="A9" s="14" t="inlineStr">
        <is>
          <t>Pre-ASP period administrations</t>
        </is>
      </c>
      <c r="B9" s="16" t="n">
        <v>13</v>
      </c>
      <c r="E9" t="inlineStr">
        <is>
          <t>No</t>
        </is>
      </c>
    </row>
    <row r="10" ht="15" customHeight="1" s="53">
      <c r="A10" s="14" t="inlineStr">
        <is>
          <t>Annual gross WAC exposure</t>
        </is>
      </c>
      <c r="B10" s="57">
        <f>B5*B8</f>
        <v/>
      </c>
    </row>
    <row r="11" ht="15" customHeight="1" s="53">
      <c r="A11" s="14" t="inlineStr">
        <is>
          <t>Pre-ASP WAC exposure</t>
        </is>
      </c>
      <c r="B11" s="57">
        <f>B5*B9</f>
        <v/>
      </c>
      <c r="D11" t="inlineStr">
        <is>
          <t>carve</t>
        </is>
      </c>
      <c r="E11" t="inlineStr">
        <is>
          <t>Carve-in</t>
        </is>
      </c>
    </row>
    <row r="12" ht="15" customHeight="1" s="53">
      <c r="A12" s="14" t="inlineStr">
        <is>
          <t>Medicare pre-ASP benchmark percentage</t>
        </is>
      </c>
      <c r="B12" s="58" t="n">
        <v>1.03</v>
      </c>
      <c r="E12" t="inlineStr">
        <is>
          <t>Carve-out</t>
        </is>
      </c>
    </row>
    <row r="13" ht="15" customHeight="1" s="53">
      <c r="A13" s="14" t="inlineStr">
        <is>
          <t>Medicare pre-ASP payment per administration</t>
        </is>
      </c>
      <c r="B13" s="57">
        <f>B5*B12</f>
        <v/>
      </c>
      <c r="E13" t="inlineStr">
        <is>
          <t>Not applicable</t>
        </is>
      </c>
    </row>
    <row r="14" ht="15" customHeight="1" s="53">
      <c r="A14" s="14" t="inlineStr">
        <is>
          <t>OPPS pass-through effective date</t>
        </is>
      </c>
      <c r="B14" s="59" t="n">
        <v>46388</v>
      </c>
    </row>
    <row r="15" ht="15" customHeight="1" s="53">
      <c r="A15" s="14" t="inlineStr">
        <is>
          <t>Permanent HCPCS effective date</t>
        </is>
      </c>
      <c r="B15" s="59" t="n">
        <v>46478</v>
      </c>
      <c r="D15" t="inlineStr">
        <is>
          <t>payer</t>
        </is>
      </c>
      <c r="E15" t="inlineStr">
        <is>
          <t>Commercial</t>
        </is>
      </c>
    </row>
    <row r="16" ht="15" customHeight="1" s="53">
      <c r="A16" s="14" t="inlineStr">
        <is>
          <t>Default customer type</t>
        </is>
      </c>
      <c r="B16" s="16" t="inlineStr">
        <is>
          <t>340B center of excellence</t>
        </is>
      </c>
      <c r="E16" t="inlineStr">
        <is>
          <t>Medicaid FFS</t>
        </is>
      </c>
    </row>
    <row r="17" ht="15" customHeight="1" s="53">
      <c r="A17" s="14" t="inlineStr">
        <is>
          <t>Default site of care</t>
        </is>
      </c>
      <c r="B17" s="16" t="inlineStr">
        <is>
          <t>HOPD</t>
        </is>
      </c>
      <c r="E17" t="inlineStr">
        <is>
          <t>Medicaid Managed Care</t>
        </is>
      </c>
    </row>
    <row r="18" ht="15" customHeight="1" s="53">
      <c r="A18" s="14" t="inlineStr">
        <is>
          <t>Default 340B status</t>
        </is>
      </c>
      <c r="B18" s="16" t="inlineStr">
        <is>
          <t>Yes</t>
        </is>
      </c>
      <c r="E18" t="inlineStr">
        <is>
          <t>Dual</t>
        </is>
      </c>
    </row>
    <row r="19">
      <c r="A19" s="14" t="n"/>
      <c r="B19" s="16" t="n"/>
      <c r="E19" t="inlineStr">
        <is>
          <t>Medicare</t>
        </is>
      </c>
    </row>
    <row r="20" ht="16" customHeight="1" s="53">
      <c r="A20" s="13" t="inlineStr">
        <is>
          <t>340B Assumptions</t>
        </is>
      </c>
      <c r="B20" s="20" t="inlineStr">
        <is>
          <t>Value</t>
        </is>
      </c>
      <c r="E20" t="inlineStr">
        <is>
          <t>Mixed</t>
        </is>
      </c>
    </row>
    <row r="21" ht="15" customHeight="1" s="53">
      <c r="A21" s="14" t="inlineStr">
        <is>
          <t>WAC</t>
        </is>
      </c>
      <c r="B21" s="57">
        <f>B5</f>
        <v/>
      </c>
    </row>
    <row r="22" ht="15" customHeight="1" s="53">
      <c r="A22" s="14" t="inlineStr">
        <is>
          <t>340B discount assumption, primary</t>
        </is>
      </c>
      <c r="B22" s="60" t="n">
        <v>0.231</v>
      </c>
      <c r="D22" t="inlineStr">
        <is>
          <t>coding</t>
        </is>
      </c>
      <c r="E22" t="inlineStr">
        <is>
          <t>Pre-code / NOC</t>
        </is>
      </c>
    </row>
    <row r="23" ht="15" customHeight="1" s="53">
      <c r="A23" s="14" t="inlineStr">
        <is>
          <t>340B acquisition, primary</t>
        </is>
      </c>
      <c r="B23" s="35">
        <f>B21*(1-B22)</f>
        <v/>
      </c>
      <c r="E23" t="inlineStr">
        <is>
          <t>Pass-through active</t>
        </is>
      </c>
    </row>
    <row r="24" ht="15" customHeight="1" s="53">
      <c r="A24" s="14" t="inlineStr">
        <is>
          <t>340B discount assumption, pediatric</t>
        </is>
      </c>
      <c r="B24" s="60" t="n">
        <v>0.171</v>
      </c>
      <c r="E24" t="inlineStr">
        <is>
          <t>Product-specific HCPCS active</t>
        </is>
      </c>
    </row>
    <row r="25" ht="15" customHeight="1" s="53">
      <c r="A25" s="14" t="inlineStr">
        <is>
          <t>340B acquisition, pediatric</t>
        </is>
      </c>
      <c r="B25" s="35">
        <f>B21*(1-B24)</f>
        <v/>
      </c>
    </row>
    <row r="26">
      <c r="A26" s="14" t="n"/>
      <c r="B26" s="16" t="n"/>
      <c r="D26" t="inlineStr">
        <is>
          <t>sourcing</t>
        </is>
      </c>
      <c r="E26" t="inlineStr">
        <is>
          <t>Buy-and-bill</t>
        </is>
      </c>
    </row>
    <row r="27" ht="16" customHeight="1" s="53">
      <c r="A27" s="13" t="inlineStr">
        <is>
          <t>Editable Assumptions</t>
        </is>
      </c>
      <c r="B27" s="20" t="inlineStr">
        <is>
          <t>Default / Input</t>
        </is>
      </c>
      <c r="E27" t="inlineStr">
        <is>
          <t>White-bagging</t>
        </is>
      </c>
    </row>
    <row r="28" ht="15" customHeight="1" s="53">
      <c r="A28" s="14" t="inlineStr">
        <is>
          <t>Commercial payer mix</t>
        </is>
      </c>
      <c r="B28" s="61" t="n">
        <v>0.5</v>
      </c>
      <c r="E28" t="inlineStr">
        <is>
          <t>Mixed</t>
        </is>
      </c>
    </row>
    <row r="29" ht="15" customHeight="1" s="53">
      <c r="A29" s="14" t="inlineStr">
        <is>
          <t>Medicaid payer mix</t>
        </is>
      </c>
      <c r="B29" s="61" t="n">
        <v>0.5</v>
      </c>
    </row>
    <row r="30" ht="15" customHeight="1" s="53">
      <c r="A30" s="14" t="inlineStr">
        <is>
          <t>Dual / other payer mix</t>
        </is>
      </c>
      <c r="B30" s="61" t="n">
        <v>0</v>
      </c>
      <c r="D30" t="inlineStr">
        <is>
          <t>reimb</t>
        </is>
      </c>
      <c r="E30" t="inlineStr">
        <is>
          <t>WAC %</t>
        </is>
      </c>
    </row>
    <row r="31" ht="15" customHeight="1" s="53">
      <c r="A31" s="14" t="inlineStr">
        <is>
          <t>Site of care</t>
        </is>
      </c>
      <c r="B31" s="22" t="inlineStr">
        <is>
          <t>HOPD</t>
        </is>
      </c>
      <c r="E31" t="inlineStr">
        <is>
          <t>AWP %</t>
        </is>
      </c>
    </row>
    <row r="32" ht="15" customHeight="1" s="53">
      <c r="A32" s="14" t="inlineStr">
        <is>
          <t>340B status</t>
        </is>
      </c>
      <c r="B32" s="22" t="inlineStr">
        <is>
          <t>Yes</t>
        </is>
      </c>
      <c r="E32" t="inlineStr">
        <is>
          <t>ASP %</t>
        </is>
      </c>
    </row>
    <row r="33" ht="15" customHeight="1" s="53">
      <c r="A33" s="14" t="inlineStr">
        <is>
          <t>340B carve-in / carve-out</t>
        </is>
      </c>
      <c r="B33" s="22" t="inlineStr">
        <is>
          <t>Carve-in</t>
        </is>
      </c>
      <c r="E33" t="inlineStr">
        <is>
          <t>Contracted rate</t>
        </is>
      </c>
    </row>
    <row r="34" ht="15" customHeight="1" s="53">
      <c r="A34" s="14" t="inlineStr">
        <is>
          <t>Payer type</t>
        </is>
      </c>
      <c r="B34" s="22" t="inlineStr">
        <is>
          <t>Commercial</t>
        </is>
      </c>
      <c r="E34" t="inlineStr">
        <is>
          <t>Manual entry</t>
        </is>
      </c>
    </row>
    <row r="35" ht="15" customHeight="1" s="53">
      <c r="A35" s="14" t="inlineStr">
        <is>
          <t>Coding status</t>
        </is>
      </c>
      <c r="B35" s="22" t="inlineStr">
        <is>
          <t>Pass-through active</t>
        </is>
      </c>
    </row>
    <row r="36" ht="15" customHeight="1" s="53">
      <c r="A36" s="14" t="inlineStr">
        <is>
          <t>Sourcing model</t>
        </is>
      </c>
      <c r="B36" s="22" t="inlineStr">
        <is>
          <t>Buy-and-bill</t>
        </is>
      </c>
      <c r="D36" t="inlineStr">
        <is>
          <t>acq</t>
        </is>
      </c>
      <c r="E36" t="inlineStr">
        <is>
          <t>Pediatric 17.1%</t>
        </is>
      </c>
    </row>
    <row r="37" ht="15" customHeight="1" s="53">
      <c r="A37" s="14" t="inlineStr">
        <is>
          <t>Reimbursement basis</t>
        </is>
      </c>
      <c r="B37" s="22" t="inlineStr">
        <is>
          <t>AWP %</t>
        </is>
      </c>
      <c r="E37" t="inlineStr">
        <is>
          <t>Pediatric 17.1%</t>
        </is>
      </c>
    </row>
    <row r="38" ht="15" customHeight="1" s="53">
      <c r="A38" s="14" t="inlineStr">
        <is>
          <t>340B acquisition assumption</t>
        </is>
      </c>
      <c r="B38" s="22">
        <f>'Scenario Selector'!$C$69</f>
        <v/>
      </c>
      <c r="E38" t="inlineStr">
        <is>
          <t>Manual entry</t>
        </is>
      </c>
    </row>
    <row r="39" ht="15" customHeight="1" s="53">
      <c r="A39" s="14" t="inlineStr">
        <is>
          <t>White-bagging percentage</t>
        </is>
      </c>
      <c r="B39" s="62">
        <f>'Scenario Selector'!$C$51</f>
        <v/>
      </c>
    </row>
    <row r="40" ht="15" customHeight="1" s="53">
      <c r="A40" s="14" t="inlineStr">
        <is>
          <t>Denial rate</t>
        </is>
      </c>
      <c r="B40" s="62">
        <f>'Scenario Selector'!$C$52</f>
        <v/>
      </c>
      <c r="D40" t="inlineStr">
        <is>
          <t>pass</t>
        </is>
      </c>
      <c r="E40" t="inlineStr">
        <is>
          <t>Active</t>
        </is>
      </c>
    </row>
    <row r="41" ht="15" customHeight="1" s="53">
      <c r="A41" s="14" t="inlineStr">
        <is>
          <t>Appeal recovery rate</t>
        </is>
      </c>
      <c r="B41" s="62">
        <f>'Scenario Selector'!$C$53</f>
        <v/>
      </c>
      <c r="E41" t="inlineStr">
        <is>
          <t>Not active</t>
        </is>
      </c>
    </row>
    <row r="42" ht="15" customHeight="1" s="53">
      <c r="A42" s="14" t="inlineStr">
        <is>
          <t>Days to payment</t>
        </is>
      </c>
      <c r="B42" s="38">
        <f>'Scenario Selector'!$C$54</f>
        <v/>
      </c>
      <c r="E42" t="inlineStr">
        <is>
          <t>Not applicable</t>
        </is>
      </c>
    </row>
    <row r="43" ht="15" customHeight="1" s="53">
      <c r="A43" s="14" t="inlineStr">
        <is>
          <t>Labor cost per administration</t>
        </is>
      </c>
      <c r="B43" s="63">
        <f>'Scenario Selector'!$C$55</f>
        <v/>
      </c>
    </row>
    <row r="44" ht="15" customHeight="1" s="53">
      <c r="A44" s="14" t="inlineStr">
        <is>
          <t>Pharmacy handling cost per administration</t>
        </is>
      </c>
      <c r="B44" s="63">
        <f>'Scenario Selector'!$C$56</f>
        <v/>
      </c>
      <c r="D44" t="inlineStr">
        <is>
          <t>aspStatus</t>
        </is>
      </c>
      <c r="E44" t="inlineStr">
        <is>
          <t>Pre-ASP</t>
        </is>
      </c>
    </row>
    <row r="45" ht="15" customHeight="1" s="53">
      <c r="A45" s="14" t="inlineStr">
        <is>
          <t>Billing/admin cost per administration</t>
        </is>
      </c>
      <c r="B45" s="63">
        <f>'Scenario Selector'!$C$57</f>
        <v/>
      </c>
      <c r="E45" t="inlineStr">
        <is>
          <t>ASP available</t>
        </is>
      </c>
    </row>
    <row r="46" ht="15" customHeight="1" s="53">
      <c r="A46" s="14" t="inlineStr">
        <is>
          <t>Other non-drug operating cost</t>
        </is>
      </c>
      <c r="B46" s="63">
        <f>'Scenario Selector'!$C$58</f>
        <v/>
      </c>
    </row>
    <row r="47" ht="15" customHeight="1" s="53">
      <c r="A47" s="14" t="inlineStr">
        <is>
          <t>Procedure revenue per administration</t>
        </is>
      </c>
      <c r="B47" s="63">
        <f>'Scenario Selector'!$C$59</f>
        <v/>
      </c>
      <c r="D47" t="inlineStr">
        <is>
          <t>pa</t>
        </is>
      </c>
      <c r="E47" t="inlineStr">
        <is>
          <t>Confirmed</t>
        </is>
      </c>
    </row>
    <row r="48" ht="15" customHeight="1" s="53">
      <c r="A48" s="14" t="inlineStr">
        <is>
          <t>Wastage cost per administration</t>
        </is>
      </c>
      <c r="B48" s="63">
        <f>'Scenario Selector'!$C$60</f>
        <v/>
      </c>
      <c r="E48" t="inlineStr">
        <is>
          <t>Not confirmed</t>
        </is>
      </c>
    </row>
    <row r="49" ht="15" customHeight="1" s="53">
      <c r="A49" s="14" t="inlineStr">
        <is>
          <t>Financing rate</t>
        </is>
      </c>
      <c r="B49" s="62">
        <f>'Scenario Selector'!$C$61</f>
        <v/>
      </c>
    </row>
    <row r="50" ht="15" customHeight="1" s="53">
      <c r="A50" s="14" t="inlineStr">
        <is>
          <t>Manufacturer support per administration</t>
        </is>
      </c>
      <c r="B50" s="63">
        <f>'Scenario Selector'!$C$62</f>
        <v/>
      </c>
    </row>
    <row r="51" ht="15" customHeight="1" s="53">
      <c r="A51" s="14" t="inlineStr">
        <is>
          <t>Manual allowed amount</t>
        </is>
      </c>
      <c r="B51" s="63">
        <f>'Scenario Selector'!$C$63</f>
        <v/>
      </c>
    </row>
    <row r="52" ht="15" customHeight="1" s="53">
      <c r="A52" s="14" t="inlineStr">
        <is>
          <t>Contracted rate</t>
        </is>
      </c>
      <c r="B52" s="63">
        <f>'Scenario Selector'!$C$64</f>
        <v/>
      </c>
    </row>
    <row r="53" ht="15" customHeight="1" s="53">
      <c r="A53" s="14" t="inlineStr">
        <is>
          <t>AWP</t>
        </is>
      </c>
      <c r="B53" s="63">
        <f>'Scenario Selector'!$C$65</f>
        <v/>
      </c>
    </row>
    <row r="54" ht="15" customHeight="1" s="53">
      <c r="A54" s="14" t="inlineStr">
        <is>
          <t>ASP</t>
        </is>
      </c>
      <c r="B54" s="63">
        <f>'Scenario Selector'!$C$66</f>
        <v/>
      </c>
    </row>
    <row r="55" ht="15" customHeight="1" s="53">
      <c r="A55" s="14" t="inlineStr">
        <is>
          <t>Manual 340B acquisition</t>
        </is>
      </c>
      <c r="B55" s="63">
        <f>'Scenario Selector'!$C$67</f>
        <v/>
      </c>
    </row>
    <row r="56" ht="15" customHeight="1" s="53">
      <c r="A56" s="14" t="inlineStr">
        <is>
          <t>Reimbursement percentage</t>
        </is>
      </c>
      <c r="B56" s="62">
        <f>'Scenario Selector'!$C$68</f>
        <v/>
      </c>
    </row>
  </sheetData>
  <mergeCells count="1">
    <mergeCell ref="A1:H1"/>
  </mergeCells>
  <dataValidations count="8">
    <dataValidation sqref="B31" showDropDown="0" showInputMessage="0" showErrorMessage="0" allowBlank="0" type="list">
      <formula1>"HOPD,Physician Office,Other"</formula1>
    </dataValidation>
    <dataValidation sqref="B32" showDropDown="0" showInputMessage="0" showErrorMessage="0" allowBlank="0" type="list">
      <formula1>"Yes,No"</formula1>
    </dataValidation>
    <dataValidation sqref="B33" showDropDown="0" showInputMessage="0" showErrorMessage="0" allowBlank="0" type="list">
      <formula1>"Carve-in,Carve-out"</formula1>
    </dataValidation>
    <dataValidation sqref="B34" showDropDown="0" showInputMessage="0" showErrorMessage="0" allowBlank="0" type="list">
      <formula1>"Commercial,Medicaid FFS,Medicaid Managed Care,Dual,Medicare,Mixed"</formula1>
    </dataValidation>
    <dataValidation sqref="B35" showDropDown="0" showInputMessage="0" showErrorMessage="0" allowBlank="0" type="list">
      <formula1>"Pre-code / NOC,Pass-through active,Product-specific HCPCS active"</formula1>
    </dataValidation>
    <dataValidation sqref="B36" showDropDown="0" showInputMessage="0" showErrorMessage="0" allowBlank="0" type="list">
      <formula1>"Buy-and-bill,White-bagging,Mixed"</formula1>
    </dataValidation>
    <dataValidation sqref="B37" showDropDown="0" showInputMessage="0" showErrorMessage="0" allowBlank="0" type="list">
      <formula1>"WAC %,AWP %,ASP %,Contracted rate,Manual entry"</formula1>
    </dataValidation>
    <dataValidation sqref="B38" showDropDown="0" showInputMessage="0" showErrorMessage="0" allowBlank="0" type="list">
      <formula1>"Primary 23.1%,Pediatric 17.1%,Manual entry"</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9"/>
  <sheetViews>
    <sheetView showGridLines="0" topLeftCell="A42" workbookViewId="0">
      <selection activeCell="B15" sqref="B15"/>
    </sheetView>
  </sheetViews>
  <sheetFormatPr baseColWidth="10" defaultColWidth="8.83203125" defaultRowHeight="14"/>
  <cols>
    <col width="36" customWidth="1" style="53" min="1" max="1"/>
    <col width="28" customWidth="1" style="53" min="2" max="4"/>
  </cols>
  <sheetData>
    <row r="1" ht="17" customHeight="1" s="53">
      <c r="A1" s="64" t="inlineStr">
        <is>
          <t>Scenario Selector</t>
        </is>
      </c>
    </row>
    <row r="2">
      <c r="A2" t="inlineStr">
        <is>
          <t>Select Scenario Preset</t>
        </is>
      </c>
      <c r="B2" s="8" t="inlineStr">
        <is>
          <t>Default 340B COE HOPD, Pass-Through Active</t>
        </is>
      </c>
    </row>
    <row r="4" ht="15" customHeight="1" s="53">
      <c r="A4" s="9" t="inlineStr">
        <is>
          <t>Scenario Field</t>
        </is>
      </c>
      <c r="B4" s="9" t="inlineStr">
        <is>
          <t>Manual Override</t>
        </is>
      </c>
      <c r="C4" s="9" t="inlineStr">
        <is>
          <t>Preset Value</t>
        </is>
      </c>
      <c r="D4" s="9" t="inlineStr">
        <is>
          <t>Active Value</t>
        </is>
      </c>
    </row>
    <row r="5" ht="15" customHeight="1" s="53">
      <c r="A5" s="10" t="inlineStr">
        <is>
          <t>Site of care</t>
        </is>
      </c>
      <c r="B5" s="23" t="inlineStr">
        <is>
          <t>HOPD</t>
        </is>
      </c>
      <c r="C5" s="24">
        <f>INDEX($B$32:$L$40,MATCH($B$2,$A$32:$A$40,0),1)</f>
        <v/>
      </c>
      <c r="D5" s="25">
        <f>IF(B5&lt;&gt;"",B5,C5)</f>
        <v/>
      </c>
    </row>
    <row r="6" ht="15" customHeight="1" s="53">
      <c r="A6" s="10" t="inlineStr">
        <is>
          <t>Payer type</t>
        </is>
      </c>
      <c r="B6" s="23" t="inlineStr">
        <is>
          <t>Commercial</t>
        </is>
      </c>
      <c r="C6" s="24">
        <f>INDEX($B$32:$L$40,MATCH($B$2,$A$32:$A$40,0),2)</f>
        <v/>
      </c>
      <c r="D6" s="25">
        <f>IF(B6&lt;&gt;"",B6,C6)</f>
        <v/>
      </c>
    </row>
    <row r="7" ht="15" customHeight="1" s="53">
      <c r="A7" s="10" t="inlineStr">
        <is>
          <t>340B status</t>
        </is>
      </c>
      <c r="B7" s="23" t="inlineStr">
        <is>
          <t>Yes</t>
        </is>
      </c>
      <c r="C7" s="24">
        <f>INDEX($B$32:$L$40,MATCH($B$2,$A$32:$A$40,0),3)</f>
        <v/>
      </c>
      <c r="D7" s="25">
        <f>IF(B7&lt;&gt;"",B7,C7)</f>
        <v/>
      </c>
    </row>
    <row r="8" ht="15" customHeight="1" s="53">
      <c r="A8" s="10" t="inlineStr">
        <is>
          <t>340B treatment</t>
        </is>
      </c>
      <c r="B8" s="23" t="inlineStr">
        <is>
          <t>Carve-out</t>
        </is>
      </c>
      <c r="C8" s="24">
        <f>INDEX($B$32:$L$40,MATCH($B$2,$A$32:$A$40,0),4)</f>
        <v/>
      </c>
      <c r="D8" s="25">
        <f>IF(B8&lt;&gt;"",B8,C8)</f>
        <v/>
      </c>
    </row>
    <row r="9" ht="15" customHeight="1" s="53">
      <c r="A9" s="10" t="inlineStr">
        <is>
          <t>Coding status</t>
        </is>
      </c>
      <c r="B9" s="23" t="inlineStr">
        <is>
          <t>Pass-through active</t>
        </is>
      </c>
      <c r="C9" s="24">
        <f>INDEX($B$32:$L$40,MATCH($B$2,$A$32:$A$40,0),5)</f>
        <v/>
      </c>
      <c r="D9" s="25">
        <f>IF(B9&lt;&gt;"",B9,C9)</f>
        <v/>
      </c>
    </row>
    <row r="10" ht="15" customHeight="1" s="53">
      <c r="A10" s="10" t="inlineStr">
        <is>
          <t>OPPS pass-through status</t>
        </is>
      </c>
      <c r="B10" s="23" t="inlineStr">
        <is>
          <t>Active</t>
        </is>
      </c>
      <c r="C10" s="24">
        <f>INDEX($B$32:$L$40,MATCH($B$2,$A$32:$A$40,0),6)</f>
        <v/>
      </c>
      <c r="D10" s="25">
        <f>IF(B10&lt;&gt;"",B10,C10)</f>
        <v/>
      </c>
    </row>
    <row r="11" ht="15" customHeight="1" s="53">
      <c r="A11" s="10" t="inlineStr">
        <is>
          <t>Sourcing model</t>
        </is>
      </c>
      <c r="B11" s="23" t="inlineStr">
        <is>
          <t>Buy-and-bill</t>
        </is>
      </c>
      <c r="C11" s="24">
        <f>INDEX($B$32:$L$40,MATCH($B$2,$A$32:$A$40,0),7)</f>
        <v/>
      </c>
      <c r="D11" s="25">
        <f>IF(B11&lt;&gt;"",B11,C11)</f>
        <v/>
      </c>
    </row>
    <row r="12" ht="15" customHeight="1" s="53">
      <c r="A12" s="10" t="inlineStr">
        <is>
          <t>ASP status</t>
        </is>
      </c>
      <c r="B12" s="23" t="inlineStr">
        <is>
          <t>Pre-ASP</t>
        </is>
      </c>
      <c r="C12" s="24">
        <f>INDEX($B$32:$L$40,MATCH($B$2,$A$32:$A$40,0),8)</f>
        <v/>
      </c>
      <c r="D12" s="25">
        <f>IF(B12&lt;&gt;"",B12,C12)</f>
        <v/>
      </c>
    </row>
    <row r="13" ht="15" customHeight="1" s="53">
      <c r="A13" s="10" t="inlineStr">
        <is>
          <t>Reimbursement basis</t>
        </is>
      </c>
      <c r="B13" s="23" t="inlineStr">
        <is>
          <t>WAC %</t>
        </is>
      </c>
      <c r="C13" s="24">
        <f>INDEX($B$32:$L$40,MATCH($B$2,$A$32:$A$40,0),9)</f>
        <v/>
      </c>
      <c r="D13" s="25">
        <f>IF(B13&lt;&gt;"",B13,C13)</f>
        <v/>
      </c>
    </row>
    <row r="14" ht="15" customHeight="1" s="53">
      <c r="A14" s="10" t="inlineStr">
        <is>
          <t>340B acquisition assumption</t>
        </is>
      </c>
      <c r="B14" s="23" t="inlineStr">
        <is>
          <t>Primary 23.1%</t>
        </is>
      </c>
      <c r="C14" s="24">
        <f>INDEX($B$32:$L$40,MATCH($B$2,$A$32:$A$40,0),10)</f>
        <v/>
      </c>
      <c r="D14" s="25">
        <f>IF(B14&lt;&gt;"",B14,C14)</f>
        <v/>
      </c>
    </row>
    <row r="15" ht="15" customHeight="1" s="53">
      <c r="A15" s="10" t="inlineStr">
        <is>
          <t>Prior authorization status</t>
        </is>
      </c>
      <c r="B15" s="23" t="inlineStr">
        <is>
          <t>Confirmed</t>
        </is>
      </c>
      <c r="C15" s="24">
        <f>INDEX($B$32:$L$40,MATCH($B$2,$A$32:$A$40,0),11)</f>
        <v/>
      </c>
      <c r="D15" s="25">
        <f>IF(B15&lt;&gt;"",B15,C15)</f>
        <v/>
      </c>
    </row>
    <row r="18" ht="80" customHeight="1" s="53">
      <c r="A18" s="2" t="inlineStr">
        <is>
          <t>Scenario Logic</t>
        </is>
      </c>
      <c r="B18" s="2" t="inlineStr">
        <is>
          <t>Selected preset fills Preset Value. Active Value uses Manual Override when provided, otherwise Preset Value.</t>
        </is>
      </c>
      <c r="C18" s="2" t="n"/>
      <c r="D18" s="2" t="n"/>
    </row>
    <row r="19" ht="30" customHeight="1" s="53">
      <c r="A19" s="1" t="inlineStr">
        <is>
          <t>Default scenario</t>
        </is>
      </c>
      <c r="B19" s="1" t="inlineStr">
        <is>
          <t>340B COE HOPD, Pass-Through Active</t>
        </is>
      </c>
      <c r="C19" s="1" t="n"/>
      <c r="D19" s="1" t="n"/>
    </row>
    <row r="31" ht="80" customHeight="1" s="53">
      <c r="A31" s="13" t="inlineStr">
        <is>
          <t>Scenario Name</t>
        </is>
      </c>
      <c r="B31" s="13" t="inlineStr">
        <is>
          <t>Site of care</t>
        </is>
      </c>
      <c r="C31" s="13" t="inlineStr">
        <is>
          <t>Payer type</t>
        </is>
      </c>
      <c r="D31" s="13" t="inlineStr">
        <is>
          <t>340B status</t>
        </is>
      </c>
      <c r="E31" s="13" t="inlineStr">
        <is>
          <t>340B treatment</t>
        </is>
      </c>
      <c r="F31" s="13" t="inlineStr">
        <is>
          <t>Coding status</t>
        </is>
      </c>
      <c r="G31" s="13" t="inlineStr">
        <is>
          <t>OPPS pass-through status</t>
        </is>
      </c>
      <c r="H31" s="13" t="inlineStr">
        <is>
          <t>Sourcing model</t>
        </is>
      </c>
      <c r="I31" s="13" t="inlineStr">
        <is>
          <t>ASP status</t>
        </is>
      </c>
      <c r="J31" s="13" t="inlineStr">
        <is>
          <t>Reimbursement basis</t>
        </is>
      </c>
      <c r="K31" s="13" t="inlineStr">
        <is>
          <t>340B acquisition assumption</t>
        </is>
      </c>
      <c r="L31" s="13" t="inlineStr">
        <is>
          <t>Prior authorization status</t>
        </is>
      </c>
    </row>
    <row r="32" ht="45" customHeight="1" s="53">
      <c r="A32" s="14" t="inlineStr">
        <is>
          <t>Default 340B COE HOPD, Pass-Through Active</t>
        </is>
      </c>
      <c r="B32" s="14" t="inlineStr">
        <is>
          <t>HOPD</t>
        </is>
      </c>
      <c r="C32" s="14" t="inlineStr">
        <is>
          <t>Medicare</t>
        </is>
      </c>
      <c r="D32" s="14" t="inlineStr">
        <is>
          <t>Yes</t>
        </is>
      </c>
      <c r="E32" s="14" t="inlineStr">
        <is>
          <t>Carve-out</t>
        </is>
      </c>
      <c r="F32" s="14" t="inlineStr">
        <is>
          <t>Pass-through active</t>
        </is>
      </c>
      <c r="G32" s="14" t="inlineStr">
        <is>
          <t>Active</t>
        </is>
      </c>
      <c r="H32" s="14" t="inlineStr">
        <is>
          <t>Buy-and-bill</t>
        </is>
      </c>
      <c r="I32" s="14" t="inlineStr">
        <is>
          <t>Pre-ASP</t>
        </is>
      </c>
      <c r="J32" s="14" t="inlineStr">
        <is>
          <t>WAC %</t>
        </is>
      </c>
      <c r="K32" s="14" t="inlineStr">
        <is>
          <t>Primary 23.1%</t>
        </is>
      </c>
      <c r="L32" s="14" t="inlineStr">
        <is>
          <t>Confirmed</t>
        </is>
      </c>
    </row>
    <row r="33" ht="45" customHeight="1" s="53">
      <c r="A33" s="14" t="inlineStr">
        <is>
          <t>340B COE HOPD, Pre-Pass-Through</t>
        </is>
      </c>
      <c r="B33" s="14" t="inlineStr">
        <is>
          <t>HOPD</t>
        </is>
      </c>
      <c r="C33" s="14" t="inlineStr">
        <is>
          <t>Medicare</t>
        </is>
      </c>
      <c r="D33" s="14" t="inlineStr">
        <is>
          <t>Yes</t>
        </is>
      </c>
      <c r="E33" s="14" t="inlineStr">
        <is>
          <t>Carve-out</t>
        </is>
      </c>
      <c r="F33" s="14" t="inlineStr">
        <is>
          <t>Pre-code / NOC</t>
        </is>
      </c>
      <c r="G33" s="14" t="inlineStr">
        <is>
          <t>Not active</t>
        </is>
      </c>
      <c r="H33" s="14" t="inlineStr">
        <is>
          <t>Buy-and-bill</t>
        </is>
      </c>
      <c r="I33" s="14" t="inlineStr">
        <is>
          <t>Pre-ASP</t>
        </is>
      </c>
      <c r="J33" s="14" t="inlineStr">
        <is>
          <t>WAC %</t>
        </is>
      </c>
      <c r="K33" s="14" t="inlineStr">
        <is>
          <t>Primary 23.1%</t>
        </is>
      </c>
      <c r="L33" s="14" t="inlineStr">
        <is>
          <t>Not confirmed</t>
        </is>
      </c>
    </row>
    <row r="34" ht="60" customHeight="1" s="53">
      <c r="A34" s="14" t="inlineStr">
        <is>
          <t>340B COE HOPD, Product-Specific HCPCS Active</t>
        </is>
      </c>
      <c r="B34" s="14" t="inlineStr">
        <is>
          <t>HOPD</t>
        </is>
      </c>
      <c r="C34" s="14" t="inlineStr">
        <is>
          <t>Medicare</t>
        </is>
      </c>
      <c r="D34" s="14" t="inlineStr">
        <is>
          <t>Yes</t>
        </is>
      </c>
      <c r="E34" s="14" t="inlineStr">
        <is>
          <t>Carve-out</t>
        </is>
      </c>
      <c r="F34" s="14" t="inlineStr">
        <is>
          <t>Product-specific HCPCS active</t>
        </is>
      </c>
      <c r="G34" s="14" t="inlineStr">
        <is>
          <t>Not applicable</t>
        </is>
      </c>
      <c r="H34" s="14" t="inlineStr">
        <is>
          <t>Buy-and-bill</t>
        </is>
      </c>
      <c r="I34" s="14" t="inlineStr">
        <is>
          <t>ASP available</t>
        </is>
      </c>
      <c r="J34" s="14" t="inlineStr">
        <is>
          <t>ASP %</t>
        </is>
      </c>
      <c r="K34" s="14" t="inlineStr">
        <is>
          <t>Primary 23.1%</t>
        </is>
      </c>
      <c r="L34" s="14" t="inlineStr">
        <is>
          <t>Confirmed</t>
        </is>
      </c>
    </row>
    <row r="35" ht="45" customHeight="1" s="53">
      <c r="A35" s="14" t="inlineStr">
        <is>
          <t>Commercial Buy-and-Bill, 340B HOPD</t>
        </is>
      </c>
      <c r="B35" s="14" t="inlineStr">
        <is>
          <t>HOPD</t>
        </is>
      </c>
      <c r="C35" s="14" t="inlineStr">
        <is>
          <t>Commercial</t>
        </is>
      </c>
      <c r="D35" s="14" t="inlineStr">
        <is>
          <t>Yes</t>
        </is>
      </c>
      <c r="E35" s="14" t="inlineStr">
        <is>
          <t>Carve-out</t>
        </is>
      </c>
      <c r="F35" s="14" t="inlineStr">
        <is>
          <t>Pass-through active</t>
        </is>
      </c>
      <c r="G35" s="14" t="inlineStr">
        <is>
          <t>Not applicable</t>
        </is>
      </c>
      <c r="H35" s="14" t="inlineStr">
        <is>
          <t>Buy-and-bill</t>
        </is>
      </c>
      <c r="I35" s="14" t="inlineStr">
        <is>
          <t>Pre-ASP</t>
        </is>
      </c>
      <c r="J35" s="14" t="inlineStr">
        <is>
          <t>Contracted rate</t>
        </is>
      </c>
      <c r="K35" s="14" t="inlineStr">
        <is>
          <t>Primary 23.1%</t>
        </is>
      </c>
      <c r="L35" s="14" t="inlineStr">
        <is>
          <t>Confirmed</t>
        </is>
      </c>
    </row>
    <row r="36" ht="45" customHeight="1" s="53">
      <c r="A36" s="14" t="inlineStr">
        <is>
          <t>Commercial White-Bagging</t>
        </is>
      </c>
      <c r="B36" s="14" t="inlineStr">
        <is>
          <t>HOPD</t>
        </is>
      </c>
      <c r="C36" s="14" t="inlineStr">
        <is>
          <t>Commercial</t>
        </is>
      </c>
      <c r="D36" s="14" t="inlineStr">
        <is>
          <t>No</t>
        </is>
      </c>
      <c r="E36" s="14" t="inlineStr">
        <is>
          <t>Not applicable</t>
        </is>
      </c>
      <c r="F36" s="14" t="inlineStr">
        <is>
          <t>Pass-through active</t>
        </is>
      </c>
      <c r="G36" s="14" t="inlineStr">
        <is>
          <t>Not applicable</t>
        </is>
      </c>
      <c r="H36" s="14" t="inlineStr">
        <is>
          <t>White-bagging</t>
        </is>
      </c>
      <c r="I36" s="14" t="inlineStr">
        <is>
          <t>Pre-ASP</t>
        </is>
      </c>
      <c r="J36" s="14" t="inlineStr">
        <is>
          <t>Manual entry</t>
        </is>
      </c>
      <c r="K36" s="14" t="inlineStr">
        <is>
          <t>Manual entry</t>
        </is>
      </c>
      <c r="L36" s="14" t="inlineStr">
        <is>
          <t>Confirmed</t>
        </is>
      </c>
    </row>
    <row r="37" ht="45" customHeight="1" s="53">
      <c r="A37" s="14" t="inlineStr">
        <is>
          <t>Medicaid Managed Care, 340B COE</t>
        </is>
      </c>
      <c r="B37" s="14" t="inlineStr">
        <is>
          <t>HOPD</t>
        </is>
      </c>
      <c r="C37" s="14" t="inlineStr">
        <is>
          <t>Medicaid Managed Care</t>
        </is>
      </c>
      <c r="D37" s="14" t="inlineStr">
        <is>
          <t>Yes</t>
        </is>
      </c>
      <c r="E37" s="14" t="inlineStr">
        <is>
          <t>Carve-in</t>
        </is>
      </c>
      <c r="F37" s="14" t="inlineStr">
        <is>
          <t>Pass-through active</t>
        </is>
      </c>
      <c r="G37" s="14" t="inlineStr">
        <is>
          <t>Not applicable</t>
        </is>
      </c>
      <c r="H37" s="14" t="inlineStr">
        <is>
          <t>Buy-and-bill</t>
        </is>
      </c>
      <c r="I37" s="14" t="inlineStr">
        <is>
          <t>Pre-ASP</t>
        </is>
      </c>
      <c r="J37" s="14" t="inlineStr">
        <is>
          <t>WAC %</t>
        </is>
      </c>
      <c r="K37" s="14" t="inlineStr">
        <is>
          <t>Primary 23.1%</t>
        </is>
      </c>
      <c r="L37" s="14" t="inlineStr">
        <is>
          <t>Confirmed</t>
        </is>
      </c>
    </row>
    <row r="38" ht="45" customHeight="1" s="53">
      <c r="A38" s="14" t="inlineStr">
        <is>
          <t>Medicaid FFS, 340B COE</t>
        </is>
      </c>
      <c r="B38" s="14" t="inlineStr">
        <is>
          <t>HOPD</t>
        </is>
      </c>
      <c r="C38" s="14" t="inlineStr">
        <is>
          <t>Medicaid FFS</t>
        </is>
      </c>
      <c r="D38" s="14" t="inlineStr">
        <is>
          <t>Yes</t>
        </is>
      </c>
      <c r="E38" s="14" t="inlineStr">
        <is>
          <t>Carve-in</t>
        </is>
      </c>
      <c r="F38" s="14" t="inlineStr">
        <is>
          <t>Pass-through active</t>
        </is>
      </c>
      <c r="G38" s="14" t="inlineStr">
        <is>
          <t>Not applicable</t>
        </is>
      </c>
      <c r="H38" s="14" t="inlineStr">
        <is>
          <t>Buy-and-bill</t>
        </is>
      </c>
      <c r="I38" s="14" t="inlineStr">
        <is>
          <t>Pre-ASP</t>
        </is>
      </c>
      <c r="J38" s="14" t="inlineStr">
        <is>
          <t>WAC %</t>
        </is>
      </c>
      <c r="K38" s="14" t="inlineStr">
        <is>
          <t>Primary 23.1%</t>
        </is>
      </c>
      <c r="L38" s="14" t="inlineStr">
        <is>
          <t>Confirmed</t>
        </is>
      </c>
    </row>
    <row r="39" ht="45" customHeight="1" s="53">
      <c r="A39" s="14" t="inlineStr">
        <is>
          <t>Non-340B Sensitivity</t>
        </is>
      </c>
      <c r="B39" s="14" t="inlineStr">
        <is>
          <t>HOPD</t>
        </is>
      </c>
      <c r="C39" s="14" t="inlineStr">
        <is>
          <t>Medicare</t>
        </is>
      </c>
      <c r="D39" s="14" t="inlineStr">
        <is>
          <t>No</t>
        </is>
      </c>
      <c r="E39" s="14" t="inlineStr">
        <is>
          <t>Not applicable</t>
        </is>
      </c>
      <c r="F39" s="14" t="inlineStr">
        <is>
          <t>Pass-through active</t>
        </is>
      </c>
      <c r="G39" s="14" t="inlineStr">
        <is>
          <t>Active</t>
        </is>
      </c>
      <c r="H39" s="14" t="inlineStr">
        <is>
          <t>Buy-and-bill</t>
        </is>
      </c>
      <c r="I39" s="14" t="inlineStr">
        <is>
          <t>Pre-ASP</t>
        </is>
      </c>
      <c r="J39" s="14" t="inlineStr">
        <is>
          <t>WAC %</t>
        </is>
      </c>
      <c r="K39" s="14" t="inlineStr">
        <is>
          <t>Manual entry</t>
        </is>
      </c>
      <c r="L39" s="14" t="inlineStr">
        <is>
          <t>Confirmed</t>
        </is>
      </c>
    </row>
    <row r="40" ht="45" customHeight="1" s="53">
      <c r="A40" s="14" t="inlineStr">
        <is>
          <t>Physician Office Sensitivity</t>
        </is>
      </c>
      <c r="B40" s="14" t="inlineStr">
        <is>
          <t>Physician Office</t>
        </is>
      </c>
      <c r="C40" s="14" t="inlineStr">
        <is>
          <t>Commercial</t>
        </is>
      </c>
      <c r="D40" s="14" t="inlineStr">
        <is>
          <t>No</t>
        </is>
      </c>
      <c r="E40" s="14" t="inlineStr">
        <is>
          <t>Not applicable</t>
        </is>
      </c>
      <c r="F40" s="14" t="inlineStr">
        <is>
          <t>Pre-code / NOC</t>
        </is>
      </c>
      <c r="G40" s="14" t="inlineStr">
        <is>
          <t>Not applicable</t>
        </is>
      </c>
      <c r="H40" s="14" t="inlineStr">
        <is>
          <t>Mixed</t>
        </is>
      </c>
      <c r="I40" s="14" t="inlineStr">
        <is>
          <t>Pre-ASP</t>
        </is>
      </c>
      <c r="J40" s="14" t="inlineStr">
        <is>
          <t>WAC %</t>
        </is>
      </c>
      <c r="K40" s="14" t="inlineStr">
        <is>
          <t>Manual entry</t>
        </is>
      </c>
      <c r="L40" s="14" t="inlineStr">
        <is>
          <t>Not confirmed</t>
        </is>
      </c>
    </row>
    <row r="42" ht="64" customHeight="1" s="53">
      <c r="A42" s="40" t="inlineStr">
        <is>
          <t>Numeric Preset Name</t>
        </is>
      </c>
      <c r="B42" s="40" t="inlineStr">
        <is>
          <t>White-bag %</t>
        </is>
      </c>
      <c r="C42" s="40" t="inlineStr">
        <is>
          <t>Denial %</t>
        </is>
      </c>
      <c r="D42" s="40" t="inlineStr">
        <is>
          <t>Appeal recovery %</t>
        </is>
      </c>
      <c r="E42" s="40" t="inlineStr">
        <is>
          <t>Days to payment</t>
        </is>
      </c>
      <c r="F42" s="40" t="inlineStr">
        <is>
          <t>Labor</t>
        </is>
      </c>
      <c r="G42" s="40" t="inlineStr">
        <is>
          <t>Pharmacy</t>
        </is>
      </c>
      <c r="H42" s="40" t="inlineStr">
        <is>
          <t>Billing/Admin</t>
        </is>
      </c>
      <c r="I42" s="40" t="inlineStr">
        <is>
          <t>Other non-drug</t>
        </is>
      </c>
      <c r="J42" s="40" t="inlineStr">
        <is>
          <t>Procedure revenue</t>
        </is>
      </c>
      <c r="K42" s="40" t="inlineStr">
        <is>
          <t>Wastage</t>
        </is>
      </c>
      <c r="L42" s="40" t="inlineStr">
        <is>
          <t>Financing %</t>
        </is>
      </c>
      <c r="M42" s="40" t="inlineStr">
        <is>
          <t>Mfr support</t>
        </is>
      </c>
      <c r="N42" s="40" t="inlineStr">
        <is>
          <t>Manual allowed</t>
        </is>
      </c>
      <c r="O42" s="40" t="inlineStr">
        <is>
          <t>Contracted rate</t>
        </is>
      </c>
      <c r="P42" s="40" t="inlineStr">
        <is>
          <t>AWP</t>
        </is>
      </c>
      <c r="Q42" s="40" t="inlineStr">
        <is>
          <t>ASP</t>
        </is>
      </c>
      <c r="R42" s="40" t="inlineStr">
        <is>
          <t>Manual 340B acq</t>
        </is>
      </c>
      <c r="S42" s="40" t="inlineStr">
        <is>
          <t>Reimbursement %</t>
        </is>
      </c>
      <c r="T42" s="40" t="inlineStr">
        <is>
          <t>Acquisition Assumption</t>
        </is>
      </c>
    </row>
    <row r="43" ht="30" customHeight="1" s="53">
      <c r="A43" s="1" t="inlineStr">
        <is>
          <t>Base Case: 340B COE HOPD, Buy-and-Bill</t>
        </is>
      </c>
      <c r="B43" s="65" t="n">
        <v>0</v>
      </c>
      <c r="C43" s="65" t="n">
        <v>0.075</v>
      </c>
      <c r="D43" s="1" t="n">
        <v>0.6</v>
      </c>
      <c r="E43" s="1" t="n">
        <v>75</v>
      </c>
      <c r="F43" s="1" t="n">
        <v>750</v>
      </c>
      <c r="G43" s="1" t="n">
        <v>400</v>
      </c>
      <c r="H43" s="1" t="n">
        <v>300</v>
      </c>
      <c r="I43" s="1" t="n">
        <v>250</v>
      </c>
      <c r="J43" s="1" t="n">
        <v>500</v>
      </c>
      <c r="K43" s="1" t="n">
        <v>0</v>
      </c>
      <c r="L43" s="65" t="n">
        <v>0.08</v>
      </c>
      <c r="M43" s="1" t="n">
        <v>0</v>
      </c>
      <c r="N43" s="1" t="n">
        <v>40170</v>
      </c>
      <c r="O43" s="1" t="n">
        <v>39000</v>
      </c>
      <c r="P43" s="1" t="n">
        <v>46800</v>
      </c>
      <c r="Q43" s="1" t="n">
        <v>37050</v>
      </c>
      <c r="R43" s="1" t="n">
        <v>29991</v>
      </c>
      <c r="S43" s="65" t="n">
        <v>1.03</v>
      </c>
      <c r="T43" s="1" t="inlineStr">
        <is>
          <t>Primary 23.1%</t>
        </is>
      </c>
    </row>
    <row r="44" ht="30" customHeight="1" s="53">
      <c r="A44" s="1" t="inlineStr">
        <is>
          <t>Conservative Case: Launch Friction / Manual Review</t>
        </is>
      </c>
      <c r="B44" s="65" t="n">
        <v>0</v>
      </c>
      <c r="C44" s="65" t="n">
        <v>0.15</v>
      </c>
      <c r="D44" s="1" t="n">
        <v>0.5</v>
      </c>
      <c r="E44" s="1" t="n">
        <v>120</v>
      </c>
      <c r="F44" s="1" t="n">
        <v>1000</v>
      </c>
      <c r="G44" s="1" t="n">
        <v>600</v>
      </c>
      <c r="H44" s="1" t="n">
        <v>500</v>
      </c>
      <c r="I44" s="1" t="n">
        <v>500</v>
      </c>
      <c r="J44" s="1" t="n">
        <v>400</v>
      </c>
      <c r="K44" s="1" t="n">
        <v>0</v>
      </c>
      <c r="L44" s="65" t="n">
        <v>0.1</v>
      </c>
      <c r="M44" s="1" t="n">
        <v>0</v>
      </c>
      <c r="N44" s="1" t="n">
        <v>40170</v>
      </c>
      <c r="O44" s="1" t="n">
        <v>37050</v>
      </c>
      <c r="P44" s="1" t="n">
        <v>46800</v>
      </c>
      <c r="Q44" s="1" t="n">
        <v>35100</v>
      </c>
      <c r="R44" s="1" t="n">
        <v>32331</v>
      </c>
      <c r="S44" s="65" t="n">
        <v>0.95</v>
      </c>
      <c r="T44" s="1" t="inlineStr">
        <is>
          <t>Pediatric 17.1%</t>
        </is>
      </c>
    </row>
    <row r="45" ht="30" customHeight="1" s="53">
      <c r="A45" s="1" t="inlineStr">
        <is>
          <t>White-Bagging Case</t>
        </is>
      </c>
      <c r="B45" s="65" t="n">
        <v>1</v>
      </c>
      <c r="C45" s="65" t="n">
        <v>0.05</v>
      </c>
      <c r="D45" s="1" t="n">
        <v>0.7</v>
      </c>
      <c r="E45" s="1" t="n">
        <v>45</v>
      </c>
      <c r="F45" s="66" t="n">
        <v>750</v>
      </c>
      <c r="G45" s="66" t="n">
        <v>250</v>
      </c>
      <c r="H45" s="66" t="n">
        <v>250</v>
      </c>
      <c r="I45" s="66" t="n">
        <v>250</v>
      </c>
      <c r="J45" s="66" t="n">
        <v>500</v>
      </c>
      <c r="K45" s="66" t="n">
        <v>0</v>
      </c>
      <c r="L45" s="66" t="n">
        <v>0.08</v>
      </c>
      <c r="M45" s="66" t="n">
        <v>0</v>
      </c>
      <c r="N45" s="66" t="n">
        <v>0</v>
      </c>
      <c r="O45" s="66" t="n">
        <v>0</v>
      </c>
      <c r="P45" s="66" t="n">
        <v>46800</v>
      </c>
      <c r="Q45" s="66" t="n">
        <v>37050</v>
      </c>
      <c r="R45" s="1" t="n">
        <v>0</v>
      </c>
      <c r="S45" s="65" t="n">
        <v>0</v>
      </c>
      <c r="T45" s="1" t="inlineStr">
        <is>
          <t>Manual entry</t>
        </is>
      </c>
    </row>
    <row r="46">
      <c r="A46" s="1" t="n"/>
      <c r="B46" s="1" t="n"/>
      <c r="C46" s="1" t="n"/>
      <c r="D46" s="1" t="n"/>
      <c r="E46" s="1" t="n"/>
      <c r="F46" s="1" t="n"/>
      <c r="G46" s="1" t="n"/>
      <c r="H46" s="1" t="n"/>
      <c r="I46" s="1" t="n"/>
      <c r="J46" s="1" t="n"/>
      <c r="K46" s="1" t="n"/>
      <c r="L46" s="1" t="n"/>
      <c r="M46" s="1" t="n"/>
      <c r="N46" s="1" t="n"/>
      <c r="O46" s="1" t="n"/>
      <c r="P46" s="1" t="n"/>
      <c r="Q46" s="1" t="n"/>
      <c r="R46" s="1" t="n"/>
      <c r="S46" s="1" t="n"/>
      <c r="T46" s="1" t="n"/>
    </row>
    <row r="47" ht="16" customHeight="1" s="53">
      <c r="A47" s="41" t="inlineStr">
        <is>
          <t>Numeric Preset Selector</t>
        </is>
      </c>
      <c r="B47" s="41" t="inlineStr">
        <is>
          <t>Manual Override?</t>
        </is>
      </c>
      <c r="C47" s="41" t="inlineStr">
        <is>
          <t>Active</t>
        </is>
      </c>
      <c r="D47" s="1" t="n"/>
      <c r="E47" s="1" t="n"/>
      <c r="F47" s="1" t="n"/>
      <c r="G47" s="1" t="n"/>
      <c r="H47" s="1" t="n"/>
      <c r="I47" s="1" t="n"/>
      <c r="J47" s="1" t="n"/>
      <c r="K47" s="1" t="n"/>
      <c r="L47" s="1" t="n"/>
      <c r="M47" s="1" t="n"/>
      <c r="N47" s="1" t="n"/>
      <c r="O47" s="1" t="n"/>
      <c r="P47" s="1" t="n"/>
      <c r="Q47" s="1" t="n"/>
      <c r="R47" s="1" t="n"/>
      <c r="S47" s="1" t="n"/>
      <c r="T47" s="1" t="n"/>
    </row>
    <row r="48" ht="30" customHeight="1" s="53">
      <c r="A48" s="1" t="inlineStr">
        <is>
          <t>Selected Numeric Preset</t>
        </is>
      </c>
      <c r="B48" s="1" t="inlineStr">
        <is>
          <t>Base Case: 340B COE HOPD, Buy-and-Bill</t>
        </is>
      </c>
      <c r="C48" s="1">
        <f>B48</f>
        <v/>
      </c>
      <c r="D48" s="1" t="n"/>
      <c r="E48" s="1" t="n"/>
      <c r="F48" s="1" t="n"/>
      <c r="G48" s="1" t="n"/>
      <c r="H48" s="1" t="n"/>
      <c r="I48" s="1" t="n"/>
      <c r="J48" s="1" t="n"/>
      <c r="K48" s="1" t="n"/>
      <c r="L48" s="1" t="n"/>
      <c r="M48" s="1" t="n"/>
      <c r="N48" s="1" t="n"/>
      <c r="O48" s="1" t="n"/>
      <c r="P48" s="1" t="n"/>
      <c r="Q48" s="1" t="n"/>
      <c r="R48" s="1" t="n"/>
      <c r="S48" s="1" t="n"/>
      <c r="T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row>
    <row r="50" ht="16" customHeight="1" s="53">
      <c r="A50" s="40" t="inlineStr">
        <is>
          <t>Numeric Input</t>
        </is>
      </c>
      <c r="B50" s="40" t="inlineStr">
        <is>
          <t>Preset Value</t>
        </is>
      </c>
      <c r="C50" s="40" t="inlineStr">
        <is>
          <t>Active to Core</t>
        </is>
      </c>
      <c r="D50" s="1" t="n"/>
      <c r="E50" s="1" t="n"/>
      <c r="F50" s="1" t="n"/>
      <c r="G50" s="1" t="n"/>
      <c r="H50" s="1" t="n"/>
      <c r="I50" s="1" t="n"/>
      <c r="J50" s="1" t="n"/>
      <c r="K50" s="1" t="n"/>
      <c r="L50" s="1" t="n"/>
      <c r="M50" s="1" t="n"/>
      <c r="N50" s="1" t="n"/>
      <c r="O50" s="1" t="n"/>
      <c r="P50" s="1" t="n"/>
      <c r="Q50" s="1" t="n"/>
      <c r="R50" s="1" t="n"/>
      <c r="S50" s="1" t="n"/>
      <c r="T50" s="1" t="n"/>
    </row>
    <row r="51" ht="15" customHeight="1" s="53">
      <c r="A51" s="1" t="inlineStr">
        <is>
          <t>White-bagging percentage (payer-driven toggle)</t>
        </is>
      </c>
      <c r="B51" s="65">
        <f>INDEX($B$43:$T$45,MATCH($B$48,$A$43:$A$45,0),1)</f>
        <v/>
      </c>
      <c r="C51" s="1">
        <f>B51</f>
        <v/>
      </c>
      <c r="D51" s="1" t="n"/>
      <c r="E51" s="1" t="n"/>
      <c r="F51" s="1" t="n"/>
      <c r="G51" s="1" t="n"/>
      <c r="H51" s="1" t="n"/>
      <c r="I51" s="1" t="n"/>
      <c r="J51" s="1" t="n"/>
      <c r="K51" s="1" t="n"/>
      <c r="L51" s="1" t="n"/>
      <c r="M51" s="1" t="n"/>
      <c r="N51" s="1" t="n"/>
      <c r="O51" s="1" t="n"/>
      <c r="P51" s="1" t="n"/>
      <c r="Q51" s="1" t="n"/>
      <c r="R51" s="1" t="n"/>
      <c r="S51" s="1" t="n"/>
      <c r="T51" s="1" t="n"/>
    </row>
    <row r="52" ht="15" customHeight="1" s="53">
      <c r="A52" s="1" t="inlineStr">
        <is>
          <t>Denial rate</t>
        </is>
      </c>
      <c r="B52" s="65">
        <f>INDEX($B$43:$T$45,MATCH($B$48,$A$43:$A$45,0),2)</f>
        <v/>
      </c>
      <c r="C52" s="1">
        <f>B52</f>
        <v/>
      </c>
      <c r="D52" s="1" t="n"/>
      <c r="E52" s="1" t="n"/>
      <c r="F52" s="1" t="n"/>
      <c r="G52" s="1" t="n"/>
      <c r="H52" s="1" t="n"/>
      <c r="I52" s="1" t="n"/>
      <c r="J52" s="1" t="n"/>
      <c r="K52" s="1" t="n"/>
      <c r="L52" s="1" t="n"/>
      <c r="M52" s="1" t="n"/>
      <c r="N52" s="1" t="n"/>
      <c r="O52" s="1" t="n"/>
      <c r="P52" s="1" t="n"/>
      <c r="Q52" s="1" t="n"/>
      <c r="R52" s="1" t="n"/>
      <c r="S52" s="1" t="n"/>
      <c r="T52" s="1" t="n"/>
    </row>
    <row r="53" ht="15" customHeight="1" s="53">
      <c r="A53" s="1" t="inlineStr">
        <is>
          <t>Appeal recovery rate</t>
        </is>
      </c>
      <c r="B53" s="65">
        <f>INDEX($B$43:$T$45,MATCH($B$48,$A$43:$A$45,0),3)</f>
        <v/>
      </c>
      <c r="C53" s="1">
        <f>B53</f>
        <v/>
      </c>
      <c r="D53" s="1" t="n"/>
      <c r="E53" s="1" t="n"/>
      <c r="F53" s="1" t="n"/>
      <c r="G53" s="1" t="n"/>
      <c r="H53" s="1" t="n"/>
      <c r="I53" s="1" t="n"/>
      <c r="J53" s="1" t="n"/>
      <c r="K53" s="1" t="n"/>
      <c r="L53" s="1" t="n"/>
      <c r="M53" s="1" t="n"/>
      <c r="N53" s="1" t="n"/>
      <c r="O53" s="1" t="n"/>
      <c r="P53" s="1" t="n"/>
      <c r="Q53" s="1" t="n"/>
      <c r="R53" s="1" t="n"/>
      <c r="S53" s="1" t="n"/>
      <c r="T53" s="1" t="n"/>
    </row>
    <row r="54" ht="15" customHeight="1" s="53">
      <c r="A54" s="1" t="inlineStr">
        <is>
          <t>Days to payment</t>
        </is>
      </c>
      <c r="B54" s="44">
        <f>INDEX($B$43:$T$45,MATCH($B$48,$A$43:$A$45,0),4)</f>
        <v/>
      </c>
      <c r="C54" s="1">
        <f>B54</f>
        <v/>
      </c>
      <c r="D54" s="1" t="n"/>
      <c r="E54" s="1" t="n"/>
      <c r="F54" s="1" t="n"/>
      <c r="G54" s="1" t="n"/>
      <c r="H54" s="1" t="n"/>
      <c r="I54" s="1" t="n"/>
      <c r="J54" s="1" t="n"/>
      <c r="K54" s="1" t="n"/>
      <c r="L54" s="1" t="n"/>
      <c r="M54" s="1" t="n"/>
      <c r="N54" s="1" t="n"/>
      <c r="O54" s="1" t="n"/>
      <c r="P54" s="1" t="n"/>
      <c r="Q54" s="1" t="n"/>
      <c r="R54" s="1" t="n"/>
      <c r="S54" s="1" t="n"/>
      <c r="T54" s="1" t="n"/>
    </row>
    <row r="55" ht="15" customHeight="1" s="53">
      <c r="A55" s="1" t="inlineStr">
        <is>
          <t>Labor cost per administration</t>
        </is>
      </c>
      <c r="B55" s="66">
        <f>INDEX($B$43:$T$45,MATCH($B$48,$A$43:$A$45,0),5)</f>
        <v/>
      </c>
      <c r="C55" s="1">
        <f>B55</f>
        <v/>
      </c>
      <c r="D55" s="1" t="n"/>
      <c r="E55" s="1" t="n"/>
      <c r="F55" s="1" t="n"/>
      <c r="G55" s="1" t="n"/>
      <c r="H55" s="1" t="n"/>
      <c r="I55" s="1" t="n"/>
      <c r="J55" s="1" t="n"/>
      <c r="K55" s="1" t="n"/>
      <c r="L55" s="1" t="n"/>
      <c r="M55" s="1" t="n"/>
      <c r="N55" s="1" t="n"/>
      <c r="O55" s="1" t="n"/>
      <c r="P55" s="1" t="n"/>
      <c r="Q55" s="1" t="n"/>
      <c r="R55" s="1" t="n"/>
      <c r="S55" s="1" t="n"/>
      <c r="T55" s="1" t="n"/>
    </row>
    <row r="56" ht="15" customHeight="1" s="53">
      <c r="A56" s="1" t="inlineStr">
        <is>
          <t>Pharmacy handling cost per administration</t>
        </is>
      </c>
      <c r="B56" s="66">
        <f>INDEX($B$43:$T$45,MATCH($B$48,$A$43:$A$45,0),6)</f>
        <v/>
      </c>
      <c r="C56" s="1">
        <f>B56</f>
        <v/>
      </c>
      <c r="D56" s="1" t="n"/>
      <c r="E56" s="1" t="n"/>
      <c r="F56" s="1" t="n"/>
      <c r="G56" s="1" t="n"/>
      <c r="H56" s="1" t="n"/>
      <c r="I56" s="1" t="n"/>
      <c r="J56" s="1" t="n"/>
      <c r="K56" s="1" t="n"/>
      <c r="L56" s="1" t="n"/>
      <c r="M56" s="1" t="n"/>
      <c r="N56" s="1" t="n"/>
      <c r="O56" s="1" t="n"/>
      <c r="P56" s="1" t="n"/>
      <c r="Q56" s="1" t="n"/>
      <c r="R56" s="1" t="n"/>
      <c r="S56" s="1" t="n"/>
      <c r="T56" s="1" t="n"/>
    </row>
    <row r="57" ht="15" customHeight="1" s="53">
      <c r="A57" s="1" t="inlineStr">
        <is>
          <t>Billing/admin cost per administration</t>
        </is>
      </c>
      <c r="B57" s="66">
        <f>INDEX($B$43:$T$45,MATCH($B$48,$A$43:$A$45,0),7)</f>
        <v/>
      </c>
      <c r="C57" s="1">
        <f>B57</f>
        <v/>
      </c>
      <c r="D57" s="1" t="n"/>
      <c r="E57" s="1" t="n"/>
      <c r="F57" s="1" t="n"/>
      <c r="G57" s="1" t="n"/>
      <c r="H57" s="1" t="n"/>
      <c r="I57" s="1" t="n"/>
      <c r="J57" s="1" t="n"/>
      <c r="K57" s="1" t="n"/>
      <c r="L57" s="1" t="n"/>
      <c r="M57" s="1" t="n"/>
      <c r="N57" s="1" t="n"/>
      <c r="O57" s="1" t="n"/>
      <c r="P57" s="1" t="n"/>
      <c r="Q57" s="1" t="n"/>
      <c r="R57" s="1" t="n"/>
      <c r="S57" s="1" t="n"/>
      <c r="T57" s="1" t="n"/>
    </row>
    <row r="58" ht="15" customHeight="1" s="53">
      <c r="A58" s="1" t="inlineStr">
        <is>
          <t>Other non-drug operating cost</t>
        </is>
      </c>
      <c r="B58" s="66">
        <f>INDEX($B$43:$T$45,MATCH($B$48,$A$43:$A$45,0),8)</f>
        <v/>
      </c>
      <c r="C58" s="1">
        <f>B58</f>
        <v/>
      </c>
      <c r="D58" s="1" t="n"/>
      <c r="E58" s="1" t="n"/>
      <c r="F58" s="1" t="n"/>
      <c r="G58" s="1" t="n"/>
      <c r="H58" s="1" t="n"/>
      <c r="I58" s="1" t="n"/>
      <c r="J58" s="1" t="n"/>
      <c r="K58" s="1" t="n"/>
      <c r="L58" s="1" t="n"/>
      <c r="M58" s="1" t="n"/>
      <c r="N58" s="1" t="n"/>
      <c r="O58" s="1" t="n"/>
      <c r="P58" s="1" t="n"/>
      <c r="Q58" s="1" t="n"/>
      <c r="R58" s="1" t="n"/>
      <c r="S58" s="1" t="n"/>
      <c r="T58" s="1" t="n"/>
    </row>
    <row r="59" ht="15" customHeight="1" s="53">
      <c r="A59" s="1" t="inlineStr">
        <is>
          <t>Procedure revenue per administration</t>
        </is>
      </c>
      <c r="B59" s="66">
        <f>INDEX($B$43:$T$45,MATCH($B$48,$A$43:$A$45,0),9)</f>
        <v/>
      </c>
      <c r="C59" s="1">
        <f>B59</f>
        <v/>
      </c>
      <c r="D59" s="1" t="n"/>
      <c r="E59" s="1" t="n"/>
      <c r="F59" s="1" t="n"/>
      <c r="G59" s="1" t="n"/>
      <c r="H59" s="1" t="n"/>
      <c r="I59" s="1" t="n"/>
      <c r="J59" s="1" t="n"/>
      <c r="K59" s="1" t="n"/>
      <c r="L59" s="1" t="n"/>
      <c r="M59" s="1" t="n"/>
      <c r="N59" s="1" t="n"/>
      <c r="O59" s="1" t="n"/>
      <c r="P59" s="1" t="n"/>
      <c r="Q59" s="1" t="n"/>
      <c r="R59" s="1" t="n"/>
      <c r="S59" s="1" t="n"/>
      <c r="T59" s="1" t="n"/>
    </row>
    <row r="60" ht="15" customHeight="1" s="53">
      <c r="A60" s="1" t="inlineStr">
        <is>
          <t>Wastage cost per administration</t>
        </is>
      </c>
      <c r="B60" s="66">
        <f>INDEX($B$43:$T$45,MATCH($B$48,$A$43:$A$45,0),10)</f>
        <v/>
      </c>
      <c r="C60" s="1">
        <f>B60</f>
        <v/>
      </c>
      <c r="D60" s="1" t="n"/>
      <c r="E60" s="1" t="n"/>
      <c r="F60" s="1" t="n"/>
      <c r="G60" s="1" t="n"/>
      <c r="H60" s="1" t="n"/>
      <c r="I60" s="1" t="n"/>
      <c r="J60" s="1" t="n"/>
      <c r="K60" s="1" t="n"/>
      <c r="L60" s="1" t="n"/>
      <c r="M60" s="1" t="n"/>
      <c r="N60" s="1" t="n"/>
      <c r="O60" s="1" t="n"/>
      <c r="P60" s="1" t="n"/>
      <c r="Q60" s="1" t="n"/>
      <c r="R60" s="1" t="n"/>
      <c r="S60" s="1" t="n"/>
      <c r="T60" s="1" t="n"/>
    </row>
    <row r="61" ht="15" customHeight="1" s="53">
      <c r="A61" s="1" t="inlineStr">
        <is>
          <t>Financing rate</t>
        </is>
      </c>
      <c r="B61" s="65">
        <f>INDEX($B$43:$T$45,MATCH($B$48,$A$43:$A$45,0),11)</f>
        <v/>
      </c>
      <c r="C61" s="1">
        <f>B61</f>
        <v/>
      </c>
      <c r="D61" s="1" t="n"/>
      <c r="E61" s="1" t="n"/>
      <c r="F61" s="1" t="n"/>
      <c r="G61" s="1" t="n"/>
      <c r="H61" s="1" t="n"/>
      <c r="I61" s="1" t="n"/>
      <c r="J61" s="1" t="n"/>
      <c r="K61" s="1" t="n"/>
      <c r="L61" s="1" t="n"/>
      <c r="M61" s="1" t="n"/>
      <c r="N61" s="1" t="n"/>
      <c r="O61" s="1" t="n"/>
      <c r="P61" s="1" t="n"/>
      <c r="Q61" s="1" t="n"/>
      <c r="R61" s="1" t="n"/>
      <c r="S61" s="1" t="n"/>
      <c r="T61" s="1" t="n"/>
    </row>
    <row r="62" ht="15" customHeight="1" s="53">
      <c r="A62" s="1" t="inlineStr">
        <is>
          <t>Manufacturer support per administration</t>
        </is>
      </c>
      <c r="B62" s="66">
        <f>INDEX($B$43:$T$45,MATCH($B$48,$A$43:$A$45,0),12)</f>
        <v/>
      </c>
      <c r="C62" s="1">
        <f>B62</f>
        <v/>
      </c>
      <c r="D62" s="1" t="n"/>
      <c r="E62" s="1" t="n"/>
      <c r="F62" s="1" t="n"/>
      <c r="G62" s="1" t="n"/>
      <c r="H62" s="1" t="n"/>
      <c r="I62" s="1" t="n"/>
      <c r="J62" s="1" t="n"/>
      <c r="K62" s="1" t="n"/>
      <c r="L62" s="1" t="n"/>
      <c r="M62" s="1" t="n"/>
      <c r="N62" s="1" t="n"/>
      <c r="O62" s="1" t="n"/>
      <c r="P62" s="1" t="n"/>
      <c r="Q62" s="1" t="n"/>
      <c r="R62" s="1" t="n"/>
      <c r="S62" s="1" t="n"/>
      <c r="T62" s="1" t="n"/>
    </row>
    <row r="63" ht="15" customHeight="1" s="53">
      <c r="A63" s="1" t="inlineStr">
        <is>
          <t>Manual allowed amount</t>
        </is>
      </c>
      <c r="B63" s="66">
        <f>INDEX($B$43:$T$45,MATCH($B$48,$A$43:$A$45,0),13)</f>
        <v/>
      </c>
      <c r="C63" s="1">
        <f>B63</f>
        <v/>
      </c>
      <c r="D63" s="1" t="n"/>
      <c r="E63" s="1" t="n"/>
      <c r="F63" s="1" t="n"/>
      <c r="G63" s="1" t="n"/>
      <c r="H63" s="1" t="n"/>
      <c r="I63" s="1" t="n"/>
      <c r="J63" s="1" t="n"/>
      <c r="K63" s="1" t="n"/>
      <c r="L63" s="1" t="n"/>
      <c r="M63" s="1" t="n"/>
      <c r="N63" s="1" t="n"/>
      <c r="O63" s="1" t="n"/>
      <c r="P63" s="1" t="n"/>
      <c r="Q63" s="1" t="n"/>
      <c r="R63" s="1" t="n"/>
      <c r="S63" s="1" t="n"/>
      <c r="T63" s="1" t="n"/>
    </row>
    <row r="64" ht="15" customHeight="1" s="53">
      <c r="A64" s="1" t="inlineStr">
        <is>
          <t>Contracted rate</t>
        </is>
      </c>
      <c r="B64" s="66">
        <f>INDEX($B$43:$T$45,MATCH($B$48,$A$43:$A$45,0),14)</f>
        <v/>
      </c>
      <c r="C64" s="1">
        <f>B64</f>
        <v/>
      </c>
      <c r="D64" s="1" t="n"/>
      <c r="E64" s="1" t="n"/>
      <c r="F64" s="1" t="n"/>
      <c r="G64" s="1" t="n"/>
      <c r="H64" s="1" t="n"/>
      <c r="I64" s="1" t="n"/>
      <c r="J64" s="1" t="n"/>
      <c r="K64" s="1" t="n"/>
      <c r="L64" s="1" t="n"/>
      <c r="M64" s="1" t="n"/>
      <c r="N64" s="1" t="n"/>
      <c r="O64" s="1" t="n"/>
      <c r="P64" s="1" t="n"/>
      <c r="Q64" s="1" t="n"/>
      <c r="R64" s="1" t="n"/>
      <c r="S64" s="1" t="n"/>
      <c r="T64" s="1" t="n"/>
    </row>
    <row r="65" ht="15" customHeight="1" s="53">
      <c r="A65" s="1" t="inlineStr">
        <is>
          <t>AWP</t>
        </is>
      </c>
      <c r="B65" s="66">
        <f>INDEX($B$43:$T$45,MATCH($B$48,$A$43:$A$45,0),15)</f>
        <v/>
      </c>
      <c r="C65" s="1">
        <f>B65</f>
        <v/>
      </c>
      <c r="D65" s="1" t="n"/>
      <c r="E65" s="1" t="n"/>
      <c r="F65" s="1" t="n"/>
      <c r="G65" s="1" t="n"/>
      <c r="H65" s="1" t="n"/>
      <c r="I65" s="1" t="n"/>
      <c r="J65" s="1" t="n"/>
      <c r="K65" s="1" t="n"/>
      <c r="L65" s="1" t="n"/>
      <c r="M65" s="1" t="n"/>
      <c r="N65" s="1" t="n"/>
      <c r="O65" s="1" t="n"/>
      <c r="P65" s="1" t="n"/>
      <c r="Q65" s="1" t="n"/>
      <c r="R65" s="1" t="n"/>
      <c r="S65" s="1" t="n"/>
      <c r="T65" s="1" t="n"/>
    </row>
    <row r="66" ht="15" customHeight="1" s="53">
      <c r="A66" s="1" t="inlineStr">
        <is>
          <t>ASP</t>
        </is>
      </c>
      <c r="B66" s="66">
        <f>INDEX($B$43:$T$45,MATCH($B$48,$A$43:$A$45,0),16)</f>
        <v/>
      </c>
      <c r="C66" s="1">
        <f>B66</f>
        <v/>
      </c>
      <c r="D66" s="1" t="n"/>
      <c r="E66" s="1" t="n"/>
      <c r="F66" s="1" t="n"/>
      <c r="G66" s="1" t="n"/>
      <c r="H66" s="1" t="n"/>
      <c r="I66" s="1" t="n"/>
      <c r="J66" s="1" t="n"/>
      <c r="K66" s="1" t="n"/>
      <c r="L66" s="1" t="n"/>
      <c r="M66" s="1" t="n"/>
      <c r="N66" s="1" t="n"/>
      <c r="O66" s="1" t="n"/>
      <c r="P66" s="1" t="n"/>
      <c r="Q66" s="1" t="n"/>
      <c r="R66" s="1" t="n"/>
      <c r="S66" s="1" t="n"/>
      <c r="T66" s="1" t="n"/>
    </row>
    <row r="67" ht="15" customHeight="1" s="53">
      <c r="A67" s="1" t="inlineStr">
        <is>
          <t>Manual 340B acquisition</t>
        </is>
      </c>
      <c r="B67" s="66">
        <f>INDEX($B$43:$T$45,MATCH($B$48,$A$43:$A$45,0),17)</f>
        <v/>
      </c>
      <c r="C67" s="1">
        <f>B67</f>
        <v/>
      </c>
      <c r="D67" s="1" t="n"/>
      <c r="E67" s="1" t="n"/>
      <c r="F67" s="1" t="n"/>
      <c r="G67" s="1" t="n"/>
      <c r="H67" s="1" t="n"/>
      <c r="I67" s="1" t="n"/>
      <c r="J67" s="1" t="n"/>
      <c r="K67" s="1" t="n"/>
      <c r="L67" s="1" t="n"/>
      <c r="M67" s="1" t="n"/>
      <c r="N67" s="1" t="n"/>
      <c r="O67" s="1" t="n"/>
      <c r="P67" s="1" t="n"/>
      <c r="Q67" s="1" t="n"/>
      <c r="R67" s="1" t="n"/>
      <c r="S67" s="1" t="n"/>
      <c r="T67" s="1" t="n"/>
    </row>
    <row r="68" ht="15" customHeight="1" s="53">
      <c r="A68" s="1" t="inlineStr">
        <is>
          <t>Reimbursement percentage</t>
        </is>
      </c>
      <c r="B68" s="65">
        <f>INDEX($B$43:$T$45,MATCH($B$48,$A$43:$A$45,0),18)</f>
        <v/>
      </c>
      <c r="C68" s="1">
        <f>B68</f>
        <v/>
      </c>
      <c r="D68" s="1" t="n"/>
      <c r="E68" s="1" t="n"/>
      <c r="F68" s="1" t="n"/>
      <c r="G68" s="1" t="n"/>
      <c r="H68" s="1" t="n"/>
      <c r="I68" s="1" t="n"/>
      <c r="J68" s="1" t="n"/>
      <c r="K68" s="1" t="n"/>
      <c r="L68" s="1" t="n"/>
      <c r="M68" s="1" t="n"/>
      <c r="N68" s="1" t="n"/>
      <c r="O68" s="1" t="n"/>
      <c r="P68" s="1" t="n"/>
      <c r="Q68" s="1" t="n"/>
      <c r="R68" s="1" t="n"/>
      <c r="S68" s="1" t="n"/>
      <c r="T68" s="1" t="n"/>
    </row>
    <row r="69" ht="15" customHeight="1" s="53">
      <c r="A69" s="1" t="inlineStr">
        <is>
          <t>340B acquisition assumption</t>
        </is>
      </c>
      <c r="B69" s="1">
        <f>INDEX($B$43:$T$45,MATCH($B$48,$A$43:$A$45,0),19)</f>
        <v/>
      </c>
      <c r="C69" s="1">
        <f>B69</f>
        <v/>
      </c>
      <c r="D69" s="1" t="n"/>
      <c r="E69" s="1" t="n"/>
      <c r="F69" s="1" t="n"/>
      <c r="G69" s="1" t="n"/>
      <c r="H69" s="1" t="n"/>
      <c r="I69" s="1" t="n"/>
      <c r="J69" s="1" t="n"/>
      <c r="K69" s="1" t="n"/>
      <c r="L69" s="1" t="n"/>
      <c r="M69" s="1" t="n"/>
      <c r="N69" s="1" t="n"/>
      <c r="O69" s="1" t="n"/>
      <c r="P69" s="1" t="n"/>
      <c r="Q69" s="1" t="n"/>
      <c r="R69" s="1" t="n"/>
      <c r="S69" s="1" t="n"/>
      <c r="T69" s="1" t="n"/>
    </row>
  </sheetData>
  <mergeCells count="1">
    <mergeCell ref="A1:H1"/>
  </mergeCells>
  <dataValidations count="13">
    <dataValidation sqref="B2" showDropDown="0" showInputMessage="0" showErrorMessage="0" allowBlank="0" type="list">
      <formula1>_xlfn._LONGTEXT("Default 340B COE HOPD, Pass-Through Active,340B COE HOPD, Pre-Pass-Through,340B COE HOPD, Product-Specific HCPCS Active,Commercial Buy-and-Bill, 340B HOPD,Commercial White-Bagging,Medicaid Managed Care, 340B COE,Medicaid FFS, 340B COE,Non-340B Sensitivity",",Physician Office Sensitivity")</formula1>
    </dataValidation>
    <dataValidation sqref="B5" showDropDown="0" showInputMessage="0" showErrorMessage="0" allowBlank="0" type="list">
      <formula1>"HOPD,Physician Office,Other"</formula1>
    </dataValidation>
    <dataValidation sqref="B6" showDropDown="0" showInputMessage="0" showErrorMessage="0" allowBlank="0" type="list">
      <formula1>"Commercial,Medicaid FFS,Medicaid Managed Care,Dual,Medicare,Mixed"</formula1>
    </dataValidation>
    <dataValidation sqref="B7" showDropDown="0" showInputMessage="0" showErrorMessage="0" allowBlank="0" type="list">
      <formula1>"Yes,No"</formula1>
    </dataValidation>
    <dataValidation sqref="B8" showDropDown="0" showInputMessage="0" showErrorMessage="0" allowBlank="0" type="list">
      <formula1>"Carve-in,Carve-out,Not applicable"</formula1>
    </dataValidation>
    <dataValidation sqref="B9" showDropDown="0" showInputMessage="0" showErrorMessage="0" allowBlank="0" type="list">
      <formula1>"Pre-code / NOC,Pass-through active,Product-specific HCPCS active"</formula1>
    </dataValidation>
    <dataValidation sqref="B10" showDropDown="0" showInputMessage="0" showErrorMessage="0" allowBlank="0" type="list">
      <formula1>"Active,Not active,Not applicable"</formula1>
    </dataValidation>
    <dataValidation sqref="B11" showDropDown="0" showInputMessage="0" showErrorMessage="0" allowBlank="0" type="list">
      <formula1>"Buy-and-bill,White-bagging,Mixed"</formula1>
    </dataValidation>
    <dataValidation sqref="B12" showDropDown="0" showInputMessage="0" showErrorMessage="0" allowBlank="0" type="list">
      <formula1>"Pre-ASP,ASP available"</formula1>
    </dataValidation>
    <dataValidation sqref="B13" showDropDown="0" showInputMessage="0" showErrorMessage="0" allowBlank="0" type="list">
      <formula1>"WAC %,AWP %,ASP %,Contracted rate,Manual entry"</formula1>
    </dataValidation>
    <dataValidation sqref="B14" showDropDown="0" showInputMessage="0" showErrorMessage="0" allowBlank="0" type="list">
      <formula1>"Primary 23.1%,Pediatric 17.1%,Manual entry"</formula1>
    </dataValidation>
    <dataValidation sqref="B15" showDropDown="0" showInputMessage="0" showErrorMessage="0" allowBlank="0" type="list">
      <formula1>"Confirmed,Not confirmed"</formula1>
    </dataValidation>
    <dataValidation sqref="B48" showDropDown="0" showInputMessage="0" showErrorMessage="0" allowBlank="0" type="list">
      <formula1>"Base Case: 340B COE HOPD, Buy-and-Bill,Conservative Case: Launch Friction / Manual Review,White-Bagging Case"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64"/>
  <sheetViews>
    <sheetView showGridLines="0" topLeftCell="A25" workbookViewId="0">
      <selection activeCell="A1" sqref="A1:H1"/>
    </sheetView>
  </sheetViews>
  <sheetFormatPr baseColWidth="10" defaultColWidth="8.83203125" defaultRowHeight="14"/>
  <cols>
    <col width="42" customWidth="1" style="53" min="1" max="1"/>
    <col width="28" customWidth="1" style="53" min="2" max="2"/>
  </cols>
  <sheetData>
    <row r="1" ht="17" customHeight="1" s="53">
      <c r="A1" s="64" t="inlineStr">
        <is>
          <t>Calculation Engine (Formula Driven)</t>
        </is>
      </c>
    </row>
    <row r="3" ht="15" customHeight="1" s="53">
      <c r="A3" s="9" t="inlineStr">
        <is>
          <t>Input References</t>
        </is>
      </c>
      <c r="B3" s="9" t="inlineStr">
        <is>
          <t>Value</t>
        </is>
      </c>
    </row>
    <row r="4">
      <c r="A4" s="10" t="inlineStr">
        <is>
          <t>Site_of_Care</t>
        </is>
      </c>
      <c r="B4" s="26">
        <f>'Scenario Selector'!$D$5</f>
        <v/>
      </c>
    </row>
    <row r="5">
      <c r="A5" s="10" t="inlineStr">
        <is>
          <t>Payer_Type</t>
        </is>
      </c>
      <c r="B5" s="26">
        <f>'Scenario Selector'!$D$6</f>
        <v/>
      </c>
    </row>
    <row r="6">
      <c r="A6" s="10" t="inlineStr">
        <is>
          <t>340B_Status</t>
        </is>
      </c>
      <c r="B6" s="26">
        <f>'Scenario Selector'!$D$7</f>
        <v/>
      </c>
    </row>
    <row r="7">
      <c r="A7" s="10" t="inlineStr">
        <is>
          <t>340B_Treatment</t>
        </is>
      </c>
      <c r="B7" s="26">
        <f>'Scenario Selector'!$D$8</f>
        <v/>
      </c>
    </row>
    <row r="8">
      <c r="A8" s="10" t="inlineStr">
        <is>
          <t>Coding_Status</t>
        </is>
      </c>
      <c r="B8" s="26">
        <f>'Scenario Selector'!$D$9</f>
        <v/>
      </c>
    </row>
    <row r="9">
      <c r="A9" s="10" t="inlineStr">
        <is>
          <t>OPPS_Pass_Through_Status</t>
        </is>
      </c>
      <c r="B9" s="26">
        <f>'Scenario Selector'!$D$10</f>
        <v/>
      </c>
    </row>
    <row r="10">
      <c r="A10" s="10" t="inlineStr">
        <is>
          <t>Sourcing_Model</t>
        </is>
      </c>
      <c r="B10" s="26">
        <f>'Scenario Selector'!$D$11</f>
        <v/>
      </c>
    </row>
    <row r="11">
      <c r="A11" s="10" t="inlineStr">
        <is>
          <t>ASP_Status</t>
        </is>
      </c>
      <c r="B11" s="26">
        <f>'Scenario Selector'!$D$12</f>
        <v/>
      </c>
    </row>
    <row r="12">
      <c r="A12" s="10" t="inlineStr">
        <is>
          <t>Reimbursement_Basis</t>
        </is>
      </c>
      <c r="B12" s="26">
        <f>'Scenario Selector'!$D$13</f>
        <v/>
      </c>
    </row>
    <row r="13">
      <c r="A13" s="10" t="inlineStr">
        <is>
          <t>340B_Acquisition_Assumption</t>
        </is>
      </c>
      <c r="B13" s="26">
        <f>'Scenario Selector'!$D$14</f>
        <v/>
      </c>
    </row>
    <row r="14">
      <c r="A14" s="10" t="inlineStr">
        <is>
          <t>Prior_Authorization_Status</t>
        </is>
      </c>
      <c r="B14" s="26">
        <f>'Scenario Selector'!$D$15</f>
        <v/>
      </c>
    </row>
    <row r="15">
      <c r="A15" s="10" t="inlineStr">
        <is>
          <t>White_Bagging_Percentage</t>
        </is>
      </c>
      <c r="B15" s="67">
        <f>'Core Assumptions'!$B$39</f>
        <v/>
      </c>
    </row>
    <row r="16">
      <c r="A16" s="10" t="inlineStr">
        <is>
          <t>Denial_Rate</t>
        </is>
      </c>
      <c r="B16" s="67">
        <f>'Core Assumptions'!$B$40</f>
        <v/>
      </c>
    </row>
    <row r="17">
      <c r="A17" s="10" t="inlineStr">
        <is>
          <t>Appeal_Recovery_Rate</t>
        </is>
      </c>
      <c r="B17" s="67">
        <f>'Core Assumptions'!$B$41</f>
        <v/>
      </c>
    </row>
    <row r="18">
      <c r="A18" s="10" t="inlineStr">
        <is>
          <t>Days_To_Payment</t>
        </is>
      </c>
      <c r="B18" s="27">
        <f>'Core Assumptions'!$B$42</f>
        <v/>
      </c>
    </row>
    <row r="19">
      <c r="A19" s="10" t="inlineStr">
        <is>
          <t>Reimbursement_Percentage</t>
        </is>
      </c>
      <c r="B19" s="67">
        <f>'Core Assumptions'!$B$56</f>
        <v/>
      </c>
    </row>
    <row r="20">
      <c r="A20" s="10" t="inlineStr">
        <is>
          <t>WAC</t>
        </is>
      </c>
      <c r="B20" s="28">
        <f>'Core Assumptions'!$B$5</f>
        <v/>
      </c>
    </row>
    <row r="21">
      <c r="A21" s="10" t="inlineStr">
        <is>
          <t>AWP</t>
        </is>
      </c>
      <c r="B21" s="28">
        <f>'Core Assumptions'!$B$53</f>
        <v/>
      </c>
    </row>
    <row r="22">
      <c r="A22" s="10" t="inlineStr">
        <is>
          <t>ASP</t>
        </is>
      </c>
      <c r="B22" s="28">
        <f>'Core Assumptions'!$B$54</f>
        <v/>
      </c>
    </row>
    <row r="23">
      <c r="A23" s="10" t="inlineStr">
        <is>
          <t>Contracted_Rate</t>
        </is>
      </c>
      <c r="B23" s="28">
        <f>'Core Assumptions'!$B$52</f>
        <v/>
      </c>
    </row>
    <row r="24">
      <c r="A24" s="10" t="inlineStr">
        <is>
          <t>Manual_Allowed_Amount</t>
        </is>
      </c>
      <c r="B24" s="28">
        <f>'Core Assumptions'!$B$51</f>
        <v/>
      </c>
    </row>
    <row r="25">
      <c r="A25" s="10" t="inlineStr">
        <is>
          <t>Labor_Cost_Per_Admin</t>
        </is>
      </c>
      <c r="B25" s="28">
        <f>'Core Assumptions'!$B$43</f>
        <v/>
      </c>
    </row>
    <row r="26">
      <c r="A26" s="10" t="inlineStr">
        <is>
          <t>Pharmacy_Handling_Cost_Per_Admin</t>
        </is>
      </c>
      <c r="B26" s="28">
        <f>'Core Assumptions'!$B$44</f>
        <v/>
      </c>
    </row>
    <row r="27">
      <c r="A27" s="10" t="inlineStr">
        <is>
          <t>Billing_Admin_Cost_Per_Admin</t>
        </is>
      </c>
      <c r="B27" s="28">
        <f>'Core Assumptions'!$B$45</f>
        <v/>
      </c>
    </row>
    <row r="28">
      <c r="A28" s="10" t="inlineStr">
        <is>
          <t>Other_Non_Drug_Cost</t>
        </is>
      </c>
      <c r="B28" s="28">
        <f>'Core Assumptions'!$B$46</f>
        <v/>
      </c>
    </row>
    <row r="29">
      <c r="A29" s="10" t="inlineStr">
        <is>
          <t>Wastage_Cost_Per_Admin</t>
        </is>
      </c>
      <c r="B29" s="28">
        <f>'Core Assumptions'!$B$48</f>
        <v/>
      </c>
    </row>
    <row r="30">
      <c r="A30" s="10" t="inlineStr">
        <is>
          <t>Financing_Rate</t>
        </is>
      </c>
      <c r="B30" s="28">
        <f>'Core Assumptions'!$B$49</f>
        <v/>
      </c>
    </row>
    <row r="31">
      <c r="A31" s="10" t="inlineStr">
        <is>
          <t>Procedure_Revenue_Per_Dose</t>
        </is>
      </c>
      <c r="B31" s="28">
        <f>'Core Assumptions'!$B$47</f>
        <v/>
      </c>
    </row>
    <row r="32">
      <c r="A32" s="10" t="inlineStr">
        <is>
          <t>Manufacturer_Support_Per_Dose</t>
        </is>
      </c>
      <c r="B32" s="28">
        <f>'Core Assumptions'!$B$50</f>
        <v/>
      </c>
    </row>
    <row r="33">
      <c r="A33" s="10" t="inlineStr">
        <is>
          <t>Manual_340B_Acquisition</t>
        </is>
      </c>
      <c r="B33" s="28">
        <f>'Core Assumptions'!$B$55</f>
        <v/>
      </c>
    </row>
    <row r="34">
      <c r="A34" s="10" t="n"/>
      <c r="B34" s="24" t="n"/>
    </row>
    <row r="35" ht="15" customHeight="1" s="53">
      <c r="A35" s="9" t="inlineStr">
        <is>
          <t>Model Outputs</t>
        </is>
      </c>
      <c r="B35" s="29" t="inlineStr">
        <is>
          <t>Value</t>
        </is>
      </c>
    </row>
    <row r="36">
      <c r="A36" s="10" t="inlineStr">
        <is>
          <t>Annual_Doses</t>
        </is>
      </c>
      <c r="B36" s="30">
        <f>26</f>
        <v/>
      </c>
    </row>
    <row r="37">
      <c r="A37" s="10" t="inlineStr">
        <is>
          <t>Calculated_Annual_Doses</t>
        </is>
      </c>
      <c r="B37" s="30">
        <f>52/'Core Assumptions'!$B$7</f>
        <v/>
      </c>
    </row>
    <row r="38">
      <c r="A38" s="10" t="inlineStr">
        <is>
          <t>Pre_ASP_Doses</t>
        </is>
      </c>
      <c r="B38" s="28">
        <f>13</f>
        <v/>
      </c>
    </row>
    <row r="39">
      <c r="A39" s="10" t="inlineStr">
        <is>
          <t>Selected_340B_Acquisition</t>
        </is>
      </c>
      <c r="B39" s="28">
        <f>IF(B13="Primary 23.1%",'Core Assumptions'!$B$23,IF(B13="Pediatric 17.1%",'Core Assumptions'!$B$25,B33))</f>
        <v/>
      </c>
    </row>
    <row r="40">
      <c r="A40" s="10" t="inlineStr">
        <is>
          <t>Selected_Allowed_Drug_Reimbursement</t>
        </is>
      </c>
      <c r="B40" s="28">
        <f>IF(B12="WAC %",B20*B19,IF(B12="AWP %",B21*B19,IF(B12="ASP %",B22*B19,IF(B12="Contracted rate",B23,IF(B12="Manual entry",B24,0)))))</f>
        <v/>
      </c>
    </row>
    <row r="41">
      <c r="A41" s="10" t="inlineStr">
        <is>
          <t>Drug_Acquisition_Per_Dose</t>
        </is>
      </c>
      <c r="B41" s="28">
        <f>IF(B10="White-bagging",0,IF(B10="Mixed",(1-B15)*IF(B6="Yes",B39,B20),IF(B6="Yes",B39,B20)))</f>
        <v/>
      </c>
    </row>
    <row r="42">
      <c r="A42" s="10" t="inlineStr">
        <is>
          <t>Allowed_Drug_Reimbursement_Per_Dose</t>
        </is>
      </c>
      <c r="B42" s="28">
        <f>IF(B10="White-bagging",0,IF(B10="Mixed",(1-B15)*B40,B40))</f>
        <v/>
      </c>
    </row>
    <row r="43">
      <c r="A43" s="10" t="inlineStr">
        <is>
          <t>Drug_Spread</t>
        </is>
      </c>
      <c r="B43" s="28">
        <f>B42-B41</f>
        <v/>
      </c>
    </row>
    <row r="44">
      <c r="A44" s="10" t="inlineStr">
        <is>
          <t>Non_Drug_Operating_Cost</t>
        </is>
      </c>
      <c r="B44" s="28">
        <f>B25+B26+B27+B28+B29</f>
        <v/>
      </c>
    </row>
    <row r="45">
      <c r="A45" s="10" t="inlineStr">
        <is>
          <t>Denial_Drag_Per_Dose</t>
        </is>
      </c>
      <c r="B45" s="28">
        <f>B16*(1-B17)*(B41+B44)</f>
        <v/>
      </c>
    </row>
    <row r="46">
      <c r="A46" s="10" t="inlineStr">
        <is>
          <t>Financing_Drag_Per_Dose</t>
        </is>
      </c>
      <c r="B46" s="28">
        <f>B41*B30*B18/365</f>
        <v/>
      </c>
    </row>
    <row r="47">
      <c r="A47" s="10" t="inlineStr">
        <is>
          <t>Net_Operating_Margin_Per_Dose</t>
        </is>
      </c>
      <c r="B47" s="28">
        <f>B42+B31+B32-B41-B44-B45-B46</f>
        <v/>
      </c>
    </row>
    <row r="48">
      <c r="A48" s="10" t="inlineStr">
        <is>
          <t>Annual_Contribution</t>
        </is>
      </c>
      <c r="B48" s="28">
        <f>B47*B36</f>
        <v/>
      </c>
    </row>
    <row r="49">
      <c r="A49" s="10" t="inlineStr">
        <is>
          <t>Administrations_Outstanding</t>
        </is>
      </c>
      <c r="B49" s="27">
        <f>ROUNDUP(B18/14,0)</f>
        <v/>
      </c>
    </row>
    <row r="50">
      <c r="A50" s="10" t="inlineStr">
        <is>
          <t>Cash_At_Risk</t>
        </is>
      </c>
      <c r="B50" s="28">
        <f>B41*B49</f>
        <v/>
      </c>
    </row>
    <row r="51">
      <c r="A51" s="10" t="inlineStr">
        <is>
          <t>Break_Even_Support_Per_Dose</t>
        </is>
      </c>
      <c r="B51" s="28">
        <f>MAX(0,-B47)</f>
        <v/>
      </c>
    </row>
    <row r="52">
      <c r="A52" s="10" t="inlineStr">
        <is>
          <t>Annual_Break_Even_Support</t>
        </is>
      </c>
      <c r="B52" s="28">
        <f>B51*B36</f>
        <v/>
      </c>
    </row>
    <row r="53">
      <c r="A53" s="10" t="inlineStr">
        <is>
          <t>Pre_ASP_WAC_Exposure</t>
        </is>
      </c>
      <c r="B53" s="28">
        <f>B20*B38</f>
        <v/>
      </c>
    </row>
    <row r="54">
      <c r="A54" s="10" t="inlineStr">
        <is>
          <t>Pre_ASP_Reimbursement</t>
        </is>
      </c>
      <c r="B54" s="28">
        <f>B42*B38</f>
        <v/>
      </c>
    </row>
    <row r="55">
      <c r="A55" s="10" t="inlineStr">
        <is>
          <t>Pre_ASP_Gross_Spread</t>
        </is>
      </c>
      <c r="B55" s="28">
        <f>B54-B53</f>
        <v/>
      </c>
    </row>
    <row r="56">
      <c r="A56" s="10" t="inlineStr">
        <is>
          <t>340B_Acquisition_Advantage_Per_Dose</t>
        </is>
      </c>
      <c r="B56" s="28">
        <f>IF(B6="Yes",B20-B39,0)</f>
        <v/>
      </c>
    </row>
    <row r="57">
      <c r="A57" s="10" t="inlineStr">
        <is>
          <t>Annual_340B_Acquisition_Advantage</t>
        </is>
      </c>
      <c r="B57" s="28">
        <f>B56*B36</f>
        <v/>
      </c>
    </row>
    <row r="58">
      <c r="A58" s="10" t="inlineStr">
        <is>
          <t>Pre_ASP_340B_Acquisition_Advantage</t>
        </is>
      </c>
      <c r="B58" s="28">
        <f>B56*B38</f>
        <v/>
      </c>
    </row>
    <row r="59">
      <c r="A59" s="10" t="inlineStr">
        <is>
          <t>Annual_Drug_Acquisition</t>
        </is>
      </c>
      <c r="B59" s="28">
        <f>B41*B36</f>
        <v/>
      </c>
    </row>
    <row r="60">
      <c r="A60" s="10" t="inlineStr">
        <is>
          <t>Annual_Allowed_Drug_Reimbursement</t>
        </is>
      </c>
      <c r="B60" s="28">
        <f>B42*B36</f>
        <v/>
      </c>
    </row>
    <row r="61">
      <c r="A61" s="10" t="inlineStr">
        <is>
          <t>Annual_Non_Drug_Operating_Cost</t>
        </is>
      </c>
      <c r="B61" s="28">
        <f>B44*B36</f>
        <v/>
      </c>
    </row>
    <row r="62">
      <c r="A62" s="10" t="inlineStr">
        <is>
          <t>Margin_Risk</t>
        </is>
      </c>
      <c r="B62" s="26">
        <f>IF(B47&lt;0,"High margin risk",IF(B47&lt;1000,"Moderate margin risk","Low margin risk"))</f>
        <v/>
      </c>
    </row>
    <row r="63">
      <c r="A63" s="10" t="inlineStr">
        <is>
          <t>Cash_Exposure_Risk</t>
        </is>
      </c>
      <c r="B63" s="26">
        <f>IF(B50&gt;250000,"High cash exposure",IF(B50&gt;100000,"Moderate cash exposure","Manageable cash exposure"))</f>
        <v/>
      </c>
    </row>
    <row r="64">
      <c r="A64" s="10" t="inlineStr">
        <is>
          <t>Operational_Risk</t>
        </is>
      </c>
      <c r="B64" s="26">
        <f>IF(OR(B14="Not confirmed",B8="Pre-code / NOC",B10="Mixed"),"High operational risk",IF(OR(B16&gt;10%,B18&gt;90),"Moderate operational risk","Lower operational risk"))</f>
        <v/>
      </c>
    </row>
  </sheetData>
  <mergeCells count="1">
    <mergeCell ref="A1:H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41"/>
  <sheetViews>
    <sheetView showGridLines="0" tabSelected="1" workbookViewId="0">
      <selection activeCell="A1" sqref="A1:H1"/>
    </sheetView>
  </sheetViews>
  <sheetFormatPr baseColWidth="10" defaultColWidth="8.83203125" defaultRowHeight="14"/>
  <cols>
    <col width="36" customWidth="1" style="53" min="1" max="1"/>
    <col width="20" customWidth="1" style="53" min="2" max="2"/>
    <col width="24" customWidth="1" style="53" min="3" max="3"/>
    <col width="34" customWidth="1" style="53" min="4" max="4"/>
    <col width="18" customWidth="1" style="53" min="5" max="5"/>
    <col width="44" customWidth="1" style="53" min="6" max="6"/>
  </cols>
  <sheetData>
    <row r="1" ht="17" customHeight="1" s="53">
      <c r="A1" s="64" t="inlineStr">
        <is>
          <t>Adrabetadex Provider Net-Cost Recovery Summary</t>
        </is>
      </c>
    </row>
    <row r="2" ht="15" customHeight="1" s="53">
      <c r="A2" s="68" t="inlineStr">
        <is>
          <t>Provider-facing output summary for selected scenario.</t>
        </is>
      </c>
    </row>
    <row r="3" ht="15" customHeight="1" s="53">
      <c r="A3" s="9" t="inlineStr">
        <is>
          <t>Header</t>
        </is>
      </c>
      <c r="B3" s="9" t="inlineStr">
        <is>
          <t>Value</t>
        </is>
      </c>
      <c r="C3" s="9" t="n"/>
      <c r="D3" s="9" t="n"/>
      <c r="E3" s="9" t="inlineStr">
        <is>
          <t>Header</t>
        </is>
      </c>
      <c r="F3" s="9" t="inlineStr">
        <is>
          <t>Value</t>
        </is>
      </c>
    </row>
    <row r="4">
      <c r="A4" s="31" t="inlineStr">
        <is>
          <t>Product</t>
        </is>
      </c>
      <c r="B4" s="31" t="inlineStr">
        <is>
          <t>Adrabetadex</t>
        </is>
      </c>
      <c r="C4" s="31" t="n"/>
      <c r="D4" s="31" t="n"/>
      <c r="E4" s="31" t="inlineStr">
        <is>
          <t>Sourcing model</t>
        </is>
      </c>
      <c r="F4" s="31">
        <f>'Scenario Selector'!$D$11</f>
        <v/>
      </c>
    </row>
    <row r="5">
      <c r="A5" s="31" t="inlineStr">
        <is>
          <t>Scenario name</t>
        </is>
      </c>
      <c r="B5" s="31">
        <f>'Scenario Selector'!$B$2</f>
        <v/>
      </c>
      <c r="C5" s="31" t="n"/>
      <c r="D5" s="31" t="n"/>
      <c r="E5" s="31" t="inlineStr">
        <is>
          <t>Pass-through status</t>
        </is>
      </c>
      <c r="F5" s="31">
        <f>'Scenario Selector'!$D$10</f>
        <v/>
      </c>
    </row>
    <row r="6">
      <c r="A6" s="31" t="inlineStr">
        <is>
          <t>Date generated</t>
        </is>
      </c>
      <c r="B6" s="69">
        <f>TODAY()</f>
        <v/>
      </c>
      <c r="C6" s="31" t="n"/>
      <c r="D6" s="31" t="n"/>
      <c r="E6" s="31" t="inlineStr">
        <is>
          <t>Reimbursement basis</t>
        </is>
      </c>
      <c r="F6" s="31">
        <f>'Scenario Selector'!$D$13</f>
        <v/>
      </c>
    </row>
    <row r="7">
      <c r="A7" s="31" t="inlineStr">
        <is>
          <t>Site type</t>
        </is>
      </c>
      <c r="B7" s="31">
        <f>'Scenario Selector'!$D$5</f>
        <v/>
      </c>
      <c r="C7" s="31" t="n"/>
      <c r="D7" s="31" t="n"/>
      <c r="E7" s="31" t="n"/>
      <c r="F7" s="31" t="n"/>
    </row>
    <row r="8">
      <c r="A8" s="31" t="inlineStr">
        <is>
          <t>Payer type</t>
        </is>
      </c>
      <c r="B8" s="31">
        <f>'Scenario Selector'!$D$6</f>
        <v/>
      </c>
      <c r="C8" s="31" t="n"/>
      <c r="D8" s="31" t="n"/>
      <c r="E8" s="31" t="n"/>
      <c r="F8" s="31" t="n"/>
    </row>
    <row r="9">
      <c r="A9" s="31" t="inlineStr">
        <is>
          <t>340B status</t>
        </is>
      </c>
      <c r="B9" s="31">
        <f>'Scenario Selector'!$D$7</f>
        <v/>
      </c>
      <c r="C9" s="31" t="n"/>
      <c r="D9" s="31" t="n"/>
      <c r="E9" s="31" t="n"/>
      <c r="F9" s="31" t="n"/>
    </row>
    <row r="10">
      <c r="A10" s="31" t="inlineStr">
        <is>
          <t>Coding status</t>
        </is>
      </c>
      <c r="B10" s="31">
        <f>'Scenario Selector'!$D$9</f>
        <v/>
      </c>
      <c r="C10" s="31" t="n"/>
      <c r="D10" s="31" t="n"/>
      <c r="E10" s="31" t="n"/>
      <c r="F10" s="31" t="n"/>
    </row>
    <row r="12" ht="15" customHeight="1" s="53">
      <c r="A12" s="9" t="inlineStr">
        <is>
          <t>Selected Scenario Summary</t>
        </is>
      </c>
      <c r="B12" s="9" t="inlineStr">
        <is>
          <t>Value</t>
        </is>
      </c>
      <c r="D12" s="9" t="inlineStr">
        <is>
          <t>Per-Dose Economics</t>
        </is>
      </c>
      <c r="E12" s="9" t="inlineStr">
        <is>
          <t>Value</t>
        </is>
      </c>
    </row>
    <row r="13">
      <c r="A13" s="10" t="inlineStr">
        <is>
          <t>Site of care</t>
        </is>
      </c>
      <c r="B13" s="10">
        <f>'Scenario Selector'!$D$5</f>
        <v/>
      </c>
      <c r="D13" s="10" t="inlineStr">
        <is>
          <t>Drug acquisition per dose</t>
        </is>
      </c>
      <c r="E13" s="32">
        <f>'Calculation Engine'!$B$41</f>
        <v/>
      </c>
    </row>
    <row r="14">
      <c r="A14" s="10" t="inlineStr">
        <is>
          <t>Payer type</t>
        </is>
      </c>
      <c r="B14" s="10">
        <f>'Scenario Selector'!$D$6</f>
        <v/>
      </c>
      <c r="D14" s="10" t="inlineStr">
        <is>
          <t>Allowed drug reimbursement per dose</t>
        </is>
      </c>
      <c r="E14" s="32">
        <f>'Calculation Engine'!$B$42</f>
        <v/>
      </c>
    </row>
    <row r="15">
      <c r="A15" s="10" t="inlineStr">
        <is>
          <t>340B status</t>
        </is>
      </c>
      <c r="B15" s="10">
        <f>'Scenario Selector'!$D$7</f>
        <v/>
      </c>
      <c r="D15" s="10" t="inlineStr">
        <is>
          <t>Drug spread per dose</t>
        </is>
      </c>
      <c r="E15" s="32">
        <f>'Calculation Engine'!$B$43</f>
        <v/>
      </c>
    </row>
    <row r="16">
      <c r="A16" s="10" t="inlineStr">
        <is>
          <t>Coding status</t>
        </is>
      </c>
      <c r="B16" s="10">
        <f>'Scenario Selector'!$D$9</f>
        <v/>
      </c>
      <c r="D16" s="10" t="inlineStr">
        <is>
          <t>Procedure revenue per dose</t>
        </is>
      </c>
      <c r="E16" s="32">
        <f>'Calculation Engine'!$B$31</f>
        <v/>
      </c>
    </row>
    <row r="17">
      <c r="A17" s="10" t="inlineStr">
        <is>
          <t>Pass-through status</t>
        </is>
      </c>
      <c r="B17" s="10">
        <f>'Scenario Selector'!$D$10</f>
        <v/>
      </c>
      <c r="D17" s="10" t="inlineStr">
        <is>
          <t>Non-drug operating cost per dose</t>
        </is>
      </c>
      <c r="E17" s="32">
        <f>'Calculation Engine'!$B$44</f>
        <v/>
      </c>
    </row>
    <row r="18">
      <c r="A18" s="10" t="inlineStr">
        <is>
          <t>Sourcing model</t>
        </is>
      </c>
      <c r="B18" s="10">
        <f>'Scenario Selector'!$D$11</f>
        <v/>
      </c>
      <c r="D18" s="10" t="inlineStr">
        <is>
          <t>Denial drag per dose</t>
        </is>
      </c>
      <c r="E18" s="32">
        <f>'Calculation Engine'!$B$45</f>
        <v/>
      </c>
    </row>
    <row r="19">
      <c r="A19" s="10" t="inlineStr">
        <is>
          <t>Reimbursement basis</t>
        </is>
      </c>
      <c r="B19" s="10">
        <f>'Scenario Selector'!$D$13</f>
        <v/>
      </c>
      <c r="D19" s="10" t="inlineStr">
        <is>
          <t>Financing drag per dose</t>
        </is>
      </c>
      <c r="E19" s="32">
        <f>'Calculation Engine'!$B$46</f>
        <v/>
      </c>
    </row>
    <row r="20">
      <c r="D20" s="10" t="inlineStr">
        <is>
          <t>Net operating margin per dose</t>
        </is>
      </c>
      <c r="E20" s="32">
        <f>'Calculation Engine'!$B$47</f>
        <v/>
      </c>
    </row>
    <row r="21">
      <c r="D21" s="10" t="inlineStr">
        <is>
          <t>Break-even support per dose</t>
        </is>
      </c>
      <c r="E21" s="32">
        <f>'Calculation Engine'!$B$51</f>
        <v/>
      </c>
    </row>
    <row r="22" ht="15" customHeight="1" s="53">
      <c r="A22" s="9" t="inlineStr">
        <is>
          <t>Annual Economics</t>
        </is>
      </c>
      <c r="B22" s="9" t="inlineStr">
        <is>
          <t>Value</t>
        </is>
      </c>
      <c r="D22" s="9" t="inlineStr">
        <is>
          <t>Risk Flags</t>
        </is>
      </c>
      <c r="E22" s="9" t="inlineStr">
        <is>
          <t>Result</t>
        </is>
      </c>
      <c r="F22" s="9" t="inlineStr">
        <is>
          <t>Explanation</t>
        </is>
      </c>
    </row>
    <row r="23" ht="15" customHeight="1" s="53">
      <c r="A23" s="10" t="inlineStr">
        <is>
          <t>Annual administrations</t>
        </is>
      </c>
      <c r="B23" s="33">
        <f>'Calculation Engine'!$B$36</f>
        <v/>
      </c>
      <c r="D23" s="10" t="inlineStr">
        <is>
          <t>Margin risk</t>
        </is>
      </c>
      <c r="E23" s="10">
        <f>'Calculation Engine'!$B$62</f>
        <v/>
      </c>
      <c r="F23" s="14">
        <f>IF(E23="High margin risk","Per-dose margin is negative.",IF(E23="Moderate margin risk","Per-dose margin is positive but narrow.","Per-dose margin has stronger cushion."))</f>
        <v/>
      </c>
    </row>
    <row r="24" ht="30" customHeight="1" s="53">
      <c r="A24" s="10" t="inlineStr">
        <is>
          <t>Annual drug acquisition</t>
        </is>
      </c>
      <c r="B24" s="32">
        <f>'Calculation Engine'!$B$59</f>
        <v/>
      </c>
      <c r="D24" s="10" t="inlineStr">
        <is>
          <t>Cash exposure risk</t>
        </is>
      </c>
      <c r="E24" s="10">
        <f>'Calculation Engine'!$B$63</f>
        <v/>
      </c>
      <c r="F24" s="14">
        <f>IF(E24="High cash exposure","Days-to-payment and acquisition burden create elevated float exposure.",IF(E24="Moderate cash exposure","Monitor outstanding administrations and remittance timing.","Cash exposure appears manageable at current assumptions."))</f>
        <v/>
      </c>
    </row>
    <row r="25" ht="15" customHeight="1" s="53">
      <c r="A25" s="10" t="inlineStr">
        <is>
          <t>Annual allowed drug reimbursement</t>
        </is>
      </c>
      <c r="B25" s="32">
        <f>'Calculation Engine'!$B$60</f>
        <v/>
      </c>
      <c r="D25" s="10" t="inlineStr">
        <is>
          <t>Operational risk</t>
        </is>
      </c>
      <c r="E25" s="10">
        <f>'Calculation Engine'!$B$64</f>
        <v/>
      </c>
      <c r="F25" s="14">
        <f>IF(E25="High operational risk","Coding and PA readiness may disrupt clean claim payment.",IF(E25="Moderate operational risk","Strengthen denial management and payment cycle controls.","Operational assumptions are relatively stable."))</f>
        <v/>
      </c>
    </row>
    <row r="26">
      <c r="A26" s="10" t="inlineStr">
        <is>
          <t>Annual non-drug operating cost</t>
        </is>
      </c>
      <c r="B26" s="32">
        <f>'Calculation Engine'!$B$61</f>
        <v/>
      </c>
    </row>
    <row r="27">
      <c r="A27" s="10" t="inlineStr">
        <is>
          <t>Annual net contribution</t>
        </is>
      </c>
      <c r="B27" s="32">
        <f>'Calculation Engine'!$B$48</f>
        <v/>
      </c>
    </row>
    <row r="28">
      <c r="A28" s="10" t="inlineStr">
        <is>
          <t>Annual break-even support</t>
        </is>
      </c>
      <c r="B28" s="32">
        <f>'Calculation Engine'!$B$52</f>
        <v/>
      </c>
    </row>
    <row r="29">
      <c r="A29" s="10" t="inlineStr">
        <is>
          <t>Cash at risk</t>
        </is>
      </c>
      <c r="B29" s="32">
        <f>'Calculation Engine'!$B$50</f>
        <v/>
      </c>
    </row>
    <row r="30">
      <c r="A30" s="10" t="inlineStr">
        <is>
          <t>Annual 340B acquisition advantage</t>
        </is>
      </c>
      <c r="B30" s="32">
        <f>'Calculation Engine'!$B$57</f>
        <v/>
      </c>
    </row>
    <row r="32" ht="15" customHeight="1" s="53">
      <c r="A32" s="9" t="inlineStr">
        <is>
          <t>Customer Conversation Takeaways</t>
        </is>
      </c>
      <c r="B32" s="9" t="n"/>
      <c r="C32" s="9" t="n"/>
      <c r="D32" s="9" t="n"/>
      <c r="E32" s="9" t="n"/>
      <c r="F32" s="9" t="n"/>
    </row>
    <row r="33">
      <c r="A33" s="50">
        <f>IF('Scenario Selector'!$D$11="White-bagging","1. White-bagging reduces provider acquisition exposure.",IF('Scenario Selector'!$D$7="No","1. Non-340B acquisition creates higher cash exposure.",IF('Scenario Selector'!$D$9="Pre-code / NOC","1. Interim coding increases operational risk.","1. 340B acquisition materially improves provider economics.")))</f>
        <v/>
      </c>
    </row>
    <row r="34">
      <c r="A34" s="50">
        <f>IF('Scenario Selector'!$D$11="White-bagging","2. White-bagging removes provider drug reimbursement and drug spread.",IF('Scenario Selector'!$D$7="No","2. Margin depends heavily on allowed reimbursement, denial rate, and payment timing.",IF('Scenario Selector'!$D$9="Pre-code / NOC","2. NDC, invoice support, and medical-necessity documentation are required for clean claim processing.","2. Pass-through and permanent HCPCS timing reduce payment uncertainty across the launch bridge.")))</f>
        <v/>
      </c>
    </row>
    <row r="35">
      <c r="A35" s="50">
        <f>IF('Scenario Selector'!$D$11="White-bagging","3. Administration revenue and operational workflow remain important to evaluate.",IF('Scenario Selector'!$D$7="No","3. Break-even support may be required if net operating margin is negative.",IF('Scenario Selector'!$D$9="Pre-code / NOC","3. Permanent HCPCS timing should be reflected in site readiness planning.","3. Clean PA, NDC, billing, wastage, and 340B documentation are required to convert coverage into payment.")))</f>
        <v/>
      </c>
    </row>
    <row r="36">
      <c r="A36" s="50" t="n"/>
    </row>
    <row r="37">
      <c r="A37" s="50" t="n"/>
    </row>
    <row r="39">
      <c r="A39" s="70" t="inlineStr">
        <is>
          <t>Estimates are for planning purposes only and do not guarantee coverage, coding, payment, or reimbursement. Providers should verify coding, billing, payer rules, contract terms, and documentation requirements before claim submission.</t>
        </is>
      </c>
    </row>
    <row r="40"/>
    <row r="41"/>
  </sheetData>
  <mergeCells count="8">
    <mergeCell ref="A33:F33"/>
    <mergeCell ref="A36:F36"/>
    <mergeCell ref="A2:H2"/>
    <mergeCell ref="A37:F37"/>
    <mergeCell ref="A39:F41"/>
    <mergeCell ref="A34:F34"/>
    <mergeCell ref="A35:F35"/>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0"/>
  <sheetViews>
    <sheetView showGridLines="0" workbookViewId="0">
      <selection activeCell="A1" sqref="A1:H1"/>
    </sheetView>
  </sheetViews>
  <sheetFormatPr baseColWidth="10" defaultColWidth="8.83203125" defaultRowHeight="14"/>
  <cols>
    <col width="34" customWidth="1" style="53" min="1" max="1"/>
    <col width="70" customWidth="1" style="53" min="2" max="2"/>
    <col width="90" customWidth="1" style="53" min="4" max="4"/>
  </cols>
  <sheetData>
    <row r="1" ht="17" customHeight="1" s="53">
      <c r="A1" s="64" t="inlineStr">
        <is>
          <t>Appendix Assumptions</t>
        </is>
      </c>
    </row>
    <row r="3" ht="16" customHeight="1" s="53">
      <c r="A3" s="13" t="inlineStr">
        <is>
          <t>Coding Assumptions</t>
        </is>
      </c>
      <c r="B3" s="13" t="inlineStr">
        <is>
          <t>Assumption</t>
        </is>
      </c>
      <c r="C3" s="1" t="n"/>
      <c r="D3" s="13" t="inlineStr">
        <is>
          <t>Policy Caveats</t>
        </is>
      </c>
      <c r="E3" s="34" t="n"/>
      <c r="F3" s="34" t="n"/>
      <c r="G3" s="34" t="n"/>
      <c r="H3" s="34" t="n"/>
    </row>
    <row r="4" ht="15" customHeight="1" s="53">
      <c r="A4" s="14" t="inlineStr">
        <is>
          <t>Launch coding</t>
        </is>
      </c>
      <c r="B4" s="14" t="inlineStr">
        <is>
          <t>Interim/NOC coding is required before product-specific HCPCS</t>
        </is>
      </c>
      <c r="C4" s="1" t="n"/>
      <c r="D4" s="14" t="inlineStr">
        <is>
          <t>Coverage does not guarantee payment.</t>
        </is>
      </c>
      <c r="E4" s="1" t="n"/>
      <c r="F4" s="1" t="n"/>
      <c r="G4" s="1" t="n"/>
      <c r="H4" s="1" t="n"/>
    </row>
    <row r="5" ht="15" customHeight="1" s="53">
      <c r="A5" s="14" t="inlineStr">
        <is>
          <t>HOPD interim code</t>
        </is>
      </c>
      <c r="B5" s="14" t="inlineStr">
        <is>
          <t>C9399 is used for HOPD OPPS interim unclassified billing when applicable</t>
        </is>
      </c>
      <c r="C5" s="1" t="n"/>
      <c r="D5" s="14" t="inlineStr">
        <is>
          <t>Prior authorization is expected.</t>
        </is>
      </c>
      <c r="E5" s="1" t="n"/>
      <c r="F5" s="1" t="n"/>
      <c r="G5" s="1" t="n"/>
      <c r="H5" s="1" t="n"/>
    </row>
    <row r="6" ht="30" customHeight="1" s="53">
      <c r="A6" s="14" t="inlineStr">
        <is>
          <t>Professional interim codes</t>
        </is>
      </c>
      <c r="B6" s="14" t="inlineStr">
        <is>
          <t>J3490 or J3590 are used when payer/product classification supports NOC professional billing</t>
        </is>
      </c>
      <c r="C6" s="1" t="n"/>
      <c r="D6" s="14" t="inlineStr">
        <is>
          <t>Site-of-care review is expected.</t>
        </is>
      </c>
      <c r="E6" s="1" t="n"/>
      <c r="F6" s="1" t="n"/>
      <c r="G6" s="1" t="n"/>
      <c r="H6" s="1" t="n"/>
    </row>
    <row r="7" ht="15" customHeight="1" s="53">
      <c r="A7" s="14" t="inlineStr">
        <is>
          <t>Permanent HCPCS</t>
        </is>
      </c>
      <c r="B7" s="14" t="inlineStr">
        <is>
          <t>Product-specific HCPCS is effective April 1, 2027</t>
        </is>
      </c>
      <c r="C7" s="1" t="n"/>
      <c r="D7" s="14" t="inlineStr">
        <is>
          <t>Commercial payers may require specialty pharmacy or white-bagging.</t>
        </is>
      </c>
      <c r="E7" s="1" t="n"/>
      <c r="F7" s="1" t="n"/>
      <c r="G7" s="1" t="n"/>
      <c r="H7" s="1" t="n"/>
    </row>
    <row r="8" ht="30" customHeight="1" s="53">
      <c r="A8" s="14" t="inlineStr">
        <is>
          <t>NDC reporting</t>
        </is>
      </c>
      <c r="B8" s="14" t="inlineStr">
        <is>
          <t>NDC reporting is required for Medicaid PAD and required/important for commercial, manual pricing, and OPPS workflows</t>
        </is>
      </c>
      <c r="C8" s="1" t="n"/>
      <c r="D8" s="14" t="inlineStr">
        <is>
          <t>Medicaid payment is state-specific.</t>
        </is>
      </c>
      <c r="E8" s="1" t="n"/>
      <c r="F8" s="1" t="n"/>
      <c r="G8" s="1" t="n"/>
      <c r="H8" s="1" t="n"/>
    </row>
    <row r="9" ht="15" customHeight="1" s="53">
      <c r="A9" s="14" t="inlineStr">
        <is>
          <t>JW/JZ</t>
        </is>
      </c>
      <c r="B9" s="14" t="inlineStr">
        <is>
          <t>JW/JZ reporting is required where applicable for single-dose vial billing</t>
        </is>
      </c>
      <c r="C9" s="1" t="n"/>
      <c r="D9" s="14" t="inlineStr">
        <is>
          <t>EPSDT may support pediatric medical necessity but does not establish provider payment.</t>
        </is>
      </c>
      <c r="E9" s="1" t="n"/>
      <c r="F9" s="1" t="n"/>
      <c r="G9" s="1" t="n"/>
      <c r="H9" s="1" t="n"/>
    </row>
    <row r="10" ht="15" customHeight="1" s="53">
      <c r="A10" s="14" t="inlineStr">
        <is>
          <t>340B modifier</t>
        </is>
      </c>
      <c r="B10" s="14" t="inlineStr">
        <is>
          <t>TB or payer-required 340B modifier is used where applicable</t>
        </is>
      </c>
      <c r="C10" s="1" t="n"/>
      <c r="D10" s="14" t="inlineStr">
        <is>
          <t>ASP-based reimbursement must be updated when ASP becomes available.</t>
        </is>
      </c>
      <c r="E10" s="1" t="n"/>
      <c r="F10" s="1" t="n"/>
      <c r="G10" s="1" t="n"/>
      <c r="H10" s="1" t="n"/>
    </row>
    <row r="11">
      <c r="A11" s="14" t="n"/>
      <c r="B11" s="14" t="n"/>
      <c r="C11" s="1" t="n"/>
      <c r="D11" s="14" t="n"/>
      <c r="E11" s="1" t="n"/>
      <c r="F11" s="1" t="n"/>
      <c r="G11" s="1" t="n"/>
      <c r="H11" s="1" t="n"/>
    </row>
    <row r="12" ht="16" customHeight="1" s="53">
      <c r="A12" s="13" t="inlineStr">
        <is>
          <t>Reimbursement Assumptions</t>
        </is>
      </c>
      <c r="B12" s="13" t="inlineStr">
        <is>
          <t>Assumption</t>
        </is>
      </c>
      <c r="C12" s="1" t="n"/>
      <c r="D12" s="13" t="inlineStr">
        <is>
          <t>340B Compliance Caveats</t>
        </is>
      </c>
      <c r="E12" s="34" t="n"/>
      <c r="F12" s="34" t="n"/>
      <c r="G12" s="34" t="n"/>
      <c r="H12" s="34" t="n"/>
    </row>
    <row r="13" ht="15" customHeight="1" s="53">
      <c r="A13" s="14" t="inlineStr">
        <is>
          <t>Pre-ASP benchmark</t>
        </is>
      </c>
      <c r="B13" s="14" t="inlineStr">
        <is>
          <t>103% of WAC</t>
        </is>
      </c>
      <c r="C13" s="1" t="n"/>
      <c r="D13" s="14" t="inlineStr">
        <is>
          <t>340B status must be confirmed by the provider.</t>
        </is>
      </c>
      <c r="E13" s="1" t="n"/>
      <c r="F13" s="1" t="n"/>
      <c r="G13" s="1" t="n"/>
      <c r="H13" s="1" t="n"/>
    </row>
    <row r="14" ht="15" customHeight="1" s="53">
      <c r="A14" s="14" t="inlineStr">
        <is>
          <t>WAC</t>
        </is>
      </c>
      <c r="B14" s="14" t="inlineStr">
        <is>
          <t>$39,000</t>
        </is>
      </c>
      <c r="C14" s="1" t="n"/>
      <c r="D14" s="14" t="inlineStr">
        <is>
          <t>Covered entity and child-site eligibility must be validated.</t>
        </is>
      </c>
      <c r="E14" s="1" t="n"/>
      <c r="F14" s="1" t="n"/>
      <c r="G14" s="1" t="n"/>
      <c r="H14" s="1" t="n"/>
    </row>
    <row r="15" ht="15" customHeight="1" s="53">
      <c r="A15" s="14" t="inlineStr">
        <is>
          <t>Pre-ASP period</t>
        </is>
      </c>
      <c r="B15" s="14" t="inlineStr">
        <is>
          <t>First two quarters</t>
        </is>
      </c>
      <c r="C15" s="1" t="n"/>
      <c r="D15" s="14" t="inlineStr">
        <is>
          <t>Medicaid carve-in/carve-out status must be confirmed.</t>
        </is>
      </c>
      <c r="E15" s="1" t="n"/>
      <c r="F15" s="1" t="n"/>
      <c r="G15" s="1" t="n"/>
      <c r="H15" s="1" t="n"/>
    </row>
    <row r="16" ht="15" customHeight="1" s="53">
      <c r="A16" s="14" t="inlineStr">
        <is>
          <t>OPPS pass-through</t>
        </is>
      </c>
      <c r="B16" s="14" t="inlineStr">
        <is>
          <t>Effective January 1, 2027</t>
        </is>
      </c>
      <c r="C16" s="1" t="n"/>
      <c r="D16" s="14" t="inlineStr">
        <is>
          <t>Duplicate-discount controls remain the provider’s responsibility.</t>
        </is>
      </c>
      <c r="E16" s="1" t="n"/>
      <c r="F16" s="1" t="n"/>
      <c r="G16" s="1" t="n"/>
      <c r="H16" s="1" t="n"/>
    </row>
    <row r="17" ht="15" customHeight="1" s="53">
      <c r="A17" s="14" t="inlineStr">
        <is>
          <t>Annual doses</t>
        </is>
      </c>
      <c r="B17" s="14" t="inlineStr">
        <is>
          <t>26</t>
        </is>
      </c>
      <c r="C17" s="1" t="n"/>
      <c r="D17" s="14" t="inlineStr">
        <is>
          <t>340B modifier requirements may vary by payer and program context.</t>
        </is>
      </c>
      <c r="E17" s="1" t="n"/>
      <c r="F17" s="1" t="n"/>
      <c r="G17" s="1" t="n"/>
      <c r="H17" s="1" t="n"/>
    </row>
    <row r="18" ht="15" customHeight="1" s="53">
      <c r="A18" s="14" t="inlineStr">
        <is>
          <t>Default customer</t>
        </is>
      </c>
      <c r="B18" s="14" t="inlineStr">
        <is>
          <t>340B center of excellence</t>
        </is>
      </c>
      <c r="C18" s="1" t="n"/>
      <c r="D18" s="14" t="inlineStr">
        <is>
          <t>Calculator output is not a 340B compliance determination.</t>
        </is>
      </c>
      <c r="E18" s="1" t="n"/>
      <c r="F18" s="1" t="n"/>
      <c r="G18" s="1" t="n"/>
      <c r="H18" s="1" t="n"/>
    </row>
    <row r="19" ht="15" customHeight="1" s="53">
      <c r="A19" s="14" t="inlineStr">
        <is>
          <t>Default acquisition model</t>
        </is>
      </c>
      <c r="B19" s="14" t="inlineStr">
        <is>
          <t>340B acquisition where applicable</t>
        </is>
      </c>
      <c r="C19" s="1" t="n"/>
      <c r="D19" s="1" t="n"/>
      <c r="E19" s="1" t="n"/>
      <c r="F19" s="1" t="n"/>
      <c r="G19" s="1" t="n"/>
      <c r="H19" s="1" t="n"/>
    </row>
    <row r="20" ht="30" customHeight="1" s="53">
      <c r="A20" s="14" t="inlineStr">
        <is>
          <t>White-bagging (payer-driven)</t>
        </is>
      </c>
      <c r="B20" s="14" t="inlineStr">
        <is>
          <t>Drug acquisition and drug reimbursement to provider are $0 for the white-bagged portion</t>
        </is>
      </c>
      <c r="C20" s="1" t="n"/>
      <c r="D20" s="1" t="n"/>
      <c r="E20" s="1" t="n"/>
      <c r="F20" s="1" t="n"/>
      <c r="G20" s="1" t="n"/>
      <c r="H20" s="1" t="n"/>
    </row>
    <row r="21" ht="15" customHeight="1" s="53">
      <c r="A21" s="14" t="inlineStr">
        <is>
          <t>Buy-and-bill</t>
        </is>
      </c>
      <c r="B21" s="14" t="inlineStr">
        <is>
          <t>Provider carries acquisition cost and bills drug reimbursement</t>
        </is>
      </c>
      <c r="C21" s="1" t="n"/>
      <c r="D21" s="1" t="n"/>
      <c r="E21" s="1" t="n"/>
      <c r="F21" s="1" t="n"/>
      <c r="G21" s="1" t="n"/>
      <c r="H21" s="1" t="n"/>
    </row>
    <row r="22" ht="30" customHeight="1" s="53">
      <c r="A22" s="14" t="inlineStr">
        <is>
          <t>Mixed sourcing</t>
        </is>
      </c>
      <c r="B22" s="14" t="inlineStr">
        <is>
          <t>White-bagging percentage reduces both provider acquisition and provider drug reimbursement proportionally</t>
        </is>
      </c>
      <c r="C22" s="1" t="n"/>
      <c r="D22" s="1" t="n"/>
      <c r="E22" s="1" t="n"/>
      <c r="F22" s="1" t="n"/>
      <c r="G22" s="1" t="n"/>
      <c r="H22" s="1" t="n"/>
    </row>
    <row r="23">
      <c r="A23" s="14" t="n"/>
      <c r="B23" s="14" t="n"/>
      <c r="C23" s="1" t="n"/>
      <c r="D23" s="1" t="n"/>
      <c r="E23" s="1" t="n"/>
      <c r="F23" s="1" t="n"/>
      <c r="G23" s="1" t="n"/>
      <c r="H23" s="1" t="n"/>
    </row>
    <row r="24" ht="16" customHeight="1" s="53">
      <c r="A24" s="13" t="inlineStr">
        <is>
          <t>Hybrid PDF Approach</t>
        </is>
      </c>
      <c r="B24" s="13" t="inlineStr">
        <is>
          <t>Purpose</t>
        </is>
      </c>
      <c r="C24" s="1" t="n"/>
      <c r="D24" s="1" t="n"/>
      <c r="E24" s="1" t="n"/>
      <c r="F24" s="1" t="n"/>
      <c r="G24" s="1" t="n"/>
      <c r="H24" s="1" t="n"/>
    </row>
    <row r="25" ht="15" customHeight="1" s="53">
      <c r="A25" s="14" t="inlineStr">
        <is>
          <t>Excel workbook</t>
        </is>
      </c>
      <c r="B25" s="14" t="inlineStr">
        <is>
          <t>Live formula engine and scenario calculator</t>
        </is>
      </c>
      <c r="C25" s="1" t="n"/>
      <c r="D25" s="1" t="n"/>
      <c r="E25" s="1" t="n"/>
      <c r="F25" s="1" t="n"/>
      <c r="G25" s="1" t="n"/>
      <c r="H25" s="1" t="n"/>
    </row>
    <row r="26" ht="15" customHeight="1" s="53">
      <c r="A26" s="14" t="inlineStr">
        <is>
          <t>PDF summary</t>
        </is>
      </c>
      <c r="B26" s="14" t="inlineStr">
        <is>
          <t>Static one-page leave-behind generated from ARM Output tab</t>
        </is>
      </c>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sheetData>
  <mergeCells count="1">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2026-04-22T07:25:46Z</dcterms:created>
  <dcterms:modified xmlns:dcterms="http://purl.org/dc/terms/" xmlns:xsi="http://www.w3.org/2001/XMLSchema-instance" xsi:type="dcterms:W3CDTF">2026-04-22T07:25:46Z</dcterms:modified>
  <cp:lastModifiedBy>Joseph Stewart</cp:lastModifiedBy>
</cp:coreProperties>
</file>