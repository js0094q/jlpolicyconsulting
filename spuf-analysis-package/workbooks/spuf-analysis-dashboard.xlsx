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7c1474555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ba22eac346fe4c92"/>
    <x:sheet xmlns:r="http://schemas.openxmlformats.org/officeDocument/2006/relationships" name="Repricing_Churn" sheetId="2" r:id="R14a0d9d07693418e"/>
    <x:sheet xmlns:r="http://schemas.openxmlformats.org/officeDocument/2006/relationships" name="Generic_Tier" sheetId="3" r:id="Re106a6998e3d41a9"/>
    <x:sheet xmlns:r="http://schemas.openxmlformats.org/officeDocument/2006/relationships" name="Sponsor_Segments" sheetId="4" r:id="Re083b3c14b7844a6"/>
    <x:sheet xmlns:r="http://schemas.openxmlformats.org/officeDocument/2006/relationships" name="PBM_Profile" sheetId="5" r:id="R676eaf5d9b0b4d9c"/>
    <x:sheet xmlns:r="http://schemas.openxmlformats.org/officeDocument/2006/relationships" name="Beneficiary_Linkage" sheetId="6" r:id="Rc3232aeee3c34aa7"/>
    <x:sheet xmlns:r="http://schemas.openxmlformats.org/officeDocument/2006/relationships" name="Story_Pipeline" sheetId="7" r:id="Rb396112b5450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00000"/>
  </x:numFmts>
  <x:fonts count="4">
    <x:font>
      <x:sz val="11"/>
      <x:name val="Carlito"/>
    </x:font>
    <x:font>
      <x:b/>
      <x:sz val="18"/>
      <x:color rgb="0B3A4A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A4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3fd7c806c4d2b" /><Relationship Type="http://schemas.openxmlformats.org/officeDocument/2006/relationships/theme" Target="/xl/theme/theme1.xml" Id="R82e7e1d7de5d40c8" /><Relationship Type="http://schemas.openxmlformats.org/officeDocument/2006/relationships/sharedStrings" Target="/xl/sharedStrings.xml" Id="Re057fecaccd947fc" /><Relationship Type="http://schemas.openxmlformats.org/officeDocument/2006/relationships/worksheet" Target="/xl/worksheets/sheet1.xml" Id="Rba22eac346fe4c92" /><Relationship Type="http://schemas.openxmlformats.org/officeDocument/2006/relationships/worksheet" Target="/xl/worksheets/sheet2.xml" Id="R14a0d9d07693418e" /><Relationship Type="http://schemas.openxmlformats.org/officeDocument/2006/relationships/worksheet" Target="/xl/worksheets/sheet3.xml" Id="Re106a6998e3d41a9" /><Relationship Type="http://schemas.openxmlformats.org/officeDocument/2006/relationships/worksheet" Target="/xl/worksheets/sheet4.xml" Id="Re083b3c14b7844a6" /><Relationship Type="http://schemas.openxmlformats.org/officeDocument/2006/relationships/worksheet" Target="/xl/worksheets/sheet5.xml" Id="R676eaf5d9b0b4d9c" /><Relationship Type="http://schemas.openxmlformats.org/officeDocument/2006/relationships/worksheet" Target="/xl/worksheets/sheet6.xml" Id="Rc3232aeee3c34aa7" /><Relationship Type="http://schemas.openxmlformats.org/officeDocument/2006/relationships/worksheet" Target="/xl/worksheets/sheet7.xml" Id="Rb396112b545040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7bcb140a7842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5fc1bbc2be47e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63a8c28dc974f4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44f41660a5a41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Panel Continuity vs Churn Share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Matched Share</c:v>
          </c:tx>
          <c:cat>
            <c:strRef>
              <c:f>'Executive_Summary'!$E$5:$E$6</c:f>
              <c:strCache>
                <c:ptCount val="0"/>
              </c:strCache>
            </c:strRef>
          </c:cat>
          <c:val>
            <c:numRef>
              <c:f>'Executive_Summary'!$F$5:$F$6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Add/Drop Share</c:v>
          </c:tx>
          <c:cat>
            <c:strRef>
              <c:f>'Executive_Summary'!$E$5:$E$6</c:f>
              <c:strCache>
                <c:ptCount val="0"/>
              </c:strCache>
            </c:strRef>
          </c:cat>
          <c:val>
            <c:numRef>
              <c:f>'Executive_Summary'!$G$5:$G$6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Tier Worsening vs Same-NDC QoQ Change</a:t>
            </a:r>
          </a:p>
        </c:rich>
      </c:tx>
      <c:overlay val="0"/>
    </c:title>
    <c:autoTitleDeleted val="0"/>
    <c:view3D/>
    <c:plotArea>
      <c:layout/>
      <c:scatterChart>
        <c:scatterStyle val="marker"/>
        <c:varyColors val="0"/>
        <c:ser>
          <c:idx val="0"/>
          <c:order val="0"/>
          <c:tx>
            <c:v>same_ndc_pct_change_qoq</c:v>
          </c:tx>
          <c:marker/>
          <c:xVal>
            <c:numLit>
              <c:formatCode>General</c:formatCode>
              <c:ptCount val="0"/>
            </c:numLit>
          </c:xVal>
          <c:yVal>
            <c:numRef>
              <c:f>'Generic_Tier'!$D$2:$D$26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Sponsor Segment Mix (2025Q4 to 2026Q1)</a:t>
            </a:r>
          </a:p>
        </c:rich>
      </c:tx>
      <c:overlay val="0"/>
    </c:title>
    <c:autoTitleDeleted val="0"/>
    <c:view3D/>
    <c:plotArea>
      <c:layout/>
      <c:pieChart>
        <c:ser>
          <c:idx val="0"/>
          <c:order val="0"/>
          <c:tx>
            <c:v>sponsor_count</c:v>
          </c:tx>
          <c:cat>
            <c:strRef>
              <c:f>'Sponsor_Segments'!$A$2:$A$5</c:f>
              <c:strCache>
                <c:ptCount val="0"/>
              </c:strCache>
            </c:strRef>
          </c:cat>
          <c:val>
            <c:numRef>
              <c:f>'Sponsor_Segments'!$B$2:$B$5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 Count by Tier (Q4 2025 vs Q1 2026)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plan_count_2025Q4</c:v>
          </c:tx>
          <c:marker/>
          <c:cat>
            <c:strRef>
              <c:f>'Beneficiary_Linkage'!$A$2:$A$8</c:f>
              <c:strCache>
                <c:ptCount val="0"/>
              </c:strCache>
            </c:strRef>
          </c:cat>
          <c:val>
            <c:numRef>
              <c:f>'Beneficiary_Linkage'!$B$2:$B$8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plan_count_2026Q1</c:v>
          </c:tx>
          <c:marker/>
          <c:cat>
            <c:strRef>
              <c:f>'Beneficiary_Linkage'!$A$2:$A$8</c:f>
              <c:strCache>
                <c:ptCount val="0"/>
              </c:strCache>
            </c:strRef>
          </c:cat>
          <c:val>
            <c:numRef>
              <c:f>'Beneficiary_Linkage'!$C$2:$C$8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plan_count_delta</c:v>
          </c:tx>
          <c:marker/>
          <c:cat>
            <c:strRef>
              <c:f>'Beneficiary_Linkage'!$A$2:$A$8</c:f>
              <c:strCache>
                <c:ptCount val="0"/>
              </c:strCache>
            </c:strRef>
          </c:cat>
          <c:val>
            <c:numRef>
              <c:f>'Beneficiary_Linkage'!$D$2:$D$8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bcb140a7842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fc1bbc2be47e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3a8c28dc974f4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f41660a5a41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8c0b2f8305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96089fef1ff47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f7682a3b6bb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36af01eeef7c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90000915527344" hidden="0" customWidth="1"/>
    <x:col min="2" max="2" width="39.290000915527344" hidden="0" customWidth="1"/>
    <x:col min="3" max="3" width="50.709999084472656" hidden="0" customWidth="1"/>
  </x:cols>
  <x:sheetData>
    <x:row r="1">
      <x:c r="A1" s="4" t="str">
        <x:v>SPUF Part D Analysis Dashboard</x:v>
      </x:c>
    </x:row>
    <x:row r="2">
      <x:c r="A2" s="6" t="str">
        <x:v>Scope: Repricing vs churn, generic tier controls, sponsor segmentation, PBM channel profile, beneficiary tier linkage</x:v>
      </x:c>
    </x:row>
    <x:row r="4">
      <x:c r="A4" s="16" t="str">
        <x:v>KPI</x:v>
      </x:c>
      <x:c r="B4" s="16" t="str">
        <x:v>Value</x:v>
      </x:c>
      <x:c r="C4" s="16" t="str">
        <x:v>Interpretation</x:v>
      </x:c>
      <x:c r="E4" t="str">
        <x:v>Pair</x:v>
      </x:c>
      <x:c r="F4" t="str">
        <x:v>Matched Share</x:v>
      </x:c>
      <x:c r="G4" t="str">
        <x:v>Add/Drop Share</x:v>
      </x:c>
    </x:row>
    <x:row r="5">
      <x:c r="A5" t="str">
        <x:v>Matched share (2025Q3 to 2025Q4)</x:v>
      </x:c>
      <x:c r="B5" s="18" t="n">
        <x:v>0.944833</x:v>
      </x:c>
      <x:c r="C5" t="str">
        <x:v>Higher continuity baseline</x:v>
      </x:c>
      <x:c r="E5" t="str">
        <x:v>2025Q3_to_2025Q4</x:v>
      </x:c>
      <x:c r="F5" t="n">
        <x:v>0.944833</x:v>
      </x:c>
      <x:c r="G5" t="n">
        <x:v>0.055167</x:v>
      </x:c>
    </x:row>
    <x:row r="6">
      <x:c r="A6" t="str">
        <x:v>Matched share (2025Q4 to 2026Q1)</x:v>
      </x:c>
      <x:c r="B6" s="18" t="n">
        <x:v>0.598137</x:v>
      </x:c>
      <x:c r="C6" t="str">
        <x:v>Lower continuity, more churn</x:v>
      </x:c>
      <x:c r="E6" t="str">
        <x:v>2025Q4_to_2026Q1</x:v>
      </x:c>
      <x:c r="F6" t="n">
        <x:v>0.598137</x:v>
      </x:c>
      <x:c r="G6" t="n">
        <x:v>0.401863</x:v>
      </x:c>
    </x:row>
    <x:row r="7">
      <x:c r="A7" t="str">
        <x:v>Add/drop share (2025Q4 to 2026Q1)</x:v>
      </x:c>
      <x:c r="B7" s="18" t="n">
        <x:v>0.401863</x:v>
      </x:c>
      <x:c r="C7" t="str">
        <x:v>High composition shift pressure</x:v>
      </x:c>
    </x:row>
    <x:row r="8">
      <x:c r="A8" t="str">
        <x:v>Repricing share of matched (2025Q4 to 2026Q1)</x:v>
      </x:c>
      <x:c r="B8" s="18" t="n">
        <x:v>0.957862</x:v>
      </x:c>
      <x:c r="C8" t="str">
        <x:v>Most matched rows repriced</x:v>
      </x:c>
    </x:row>
    <x:row r="9">
      <x:c r="A9" t="str">
        <x:v>Sponsors classified as repricing-dominant</x:v>
      </x:c>
      <x:c r="B9" s="18" t="n">
        <x:v>185</x:v>
      </x:c>
      <x:c r="C9" t="str">
        <x:v>Largest sponsor segment</x:v>
      </x:c>
    </x:row>
    <x:row r="10">
      <x:c r="A10" t="str">
        <x:v>PBM profile rows (plan type split)</x:v>
      </x:c>
      <x:c r="B10" s="18" t="n">
        <x:v>15</x:v>
      </x:c>
      <x:c r="C10" t="str">
        <x:v>Cross-sectional channel coverage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88c0b2f830544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23.56999969482422" hidden="0" customWidth="1"/>
    <x:col min="3" max="3" width="23.56999969482422" hidden="0" customWidth="1"/>
    <x:col min="4" max="4" width="23.56999969482422" hidden="0" customWidth="1"/>
    <x:col min="5" max="5" width="23.56999969482422" hidden="0" customWidth="1"/>
    <x:col min="6" max="6" width="23.56999969482422" hidden="0" customWidth="1"/>
    <x:col min="7" max="7" width="23.56999969482422" hidden="0" customWidth="1"/>
    <x:col min="8" max="8" width="23.56999969482422" hidden="0" customWidth="1"/>
    <x:col min="9" max="9" width="23.56999969482422" hidden="0" customWidth="1"/>
    <x:col min="10" max="10" width="23.56999969482422" hidden="0" customWidth="1"/>
    <x:col min="11" max="11" width="23.56999969482422" hidden="0" customWidth="1"/>
  </x:cols>
  <x:sheetData>
    <x:row r="1">
      <x:c r="A1" s="16" t="str">
        <x:v>pair</x:v>
      </x:c>
      <x:c r="B1" s="16" t="str">
        <x:v>total_rows</x:v>
      </x:c>
      <x:c r="C1" s="16" t="str">
        <x:v>matched_rows</x:v>
      </x:c>
      <x:c r="D1" s="16" t="str">
        <x:v>adds</x:v>
      </x:c>
      <x:c r="E1" s="16" t="str">
        <x:v>drops</x:v>
      </x:c>
      <x:c r="F1" s="16" t="str">
        <x:v>repriced_rows</x:v>
      </x:c>
      <x:c r="G1" s="16" t="str">
        <x:v>unchanged_rows</x:v>
      </x:c>
      <x:c r="H1" s="16" t="str">
        <x:v>matched_share</x:v>
      </x:c>
      <x:c r="I1" s="16" t="str">
        <x:v>add_drop_share</x:v>
      </x:c>
      <x:c r="J1" s="16" t="str">
        <x:v>repriced_share_of_matched</x:v>
      </x:c>
      <x:c r="K1" s="16" t="str">
        <x:v>unchanged_share_of_matched</x:v>
      </x:c>
    </x:row>
    <x:row r="2">
      <x:c r="A2" t="str">
        <x:v>2025Q3_to_2025Q4</x:v>
      </x:c>
      <x:c r="B2" t="n">
        <x:v>57242877</x:v>
      </x:c>
      <x:c r="C2" t="n">
        <x:v>54084976</x:v>
      </x:c>
      <x:c r="D2" t="n">
        <x:v>1708857</x:v>
      </x:c>
      <x:c r="E2" t="n">
        <x:v>1449044</x:v>
      </x:c>
      <x:c r="F2" t="n">
        <x:v>37711763</x:v>
      </x:c>
      <x:c r="G2" t="n">
        <x:v>16373213</x:v>
      </x:c>
      <x:c r="H2" s="18" t="n">
        <x:v>0.944833</x:v>
      </x:c>
      <x:c r="I2" s="18" t="n">
        <x:v>0.055167</x:v>
      </x:c>
      <x:c r="J2" s="18" t="n">
        <x:v>0.697269</x:v>
      </x:c>
      <x:c r="K2" s="18" t="n">
        <x:v>0.302731</x:v>
      </x:c>
    </x:row>
    <x:row r="3">
      <x:c r="A3" t="str">
        <x:v>2025Q4_to_2026Q1</x:v>
      </x:c>
      <x:c r="B3" t="n">
        <x:v>68231339</x:v>
      </x:c>
      <x:c r="C3" t="n">
        <x:v>40811665</x:v>
      </x:c>
      <x:c r="D3" t="n">
        <x:v>12437506</x:v>
      </x:c>
      <x:c r="E3" t="n">
        <x:v>14982168</x:v>
      </x:c>
      <x:c r="F3" t="n">
        <x:v>39091959</x:v>
      </x:c>
      <x:c r="G3" t="n">
        <x:v>1719706</x:v>
      </x:c>
      <x:c r="H3" s="18" t="n">
        <x:v>0.598137</x:v>
      </x:c>
      <x:c r="I3" s="18" t="n">
        <x:v>0.401863</x:v>
      </x:c>
      <x:c r="J3" s="18" t="n">
        <x:v>0.957862</x:v>
      </x:c>
      <x:c r="K3" s="18" t="n">
        <x:v>0.042138</x:v>
      </x:c>
    </x:row>
    <x:row r="4">
      <x:c r="H4" s="18"/>
      <x:c r="I4" s="18"/>
      <x:c r="J4" s="18"/>
      <x:c r="K4" s="18"/>
    </x:row>
    <x:row r="5">
      <x:c r="H5" s="18"/>
      <x:c r="I5" s="18"/>
      <x:c r="J5" s="18"/>
      <x:c r="K5" s="18"/>
    </x:row>
    <x:row r="6">
      <x:c r="H6" s="18"/>
      <x:c r="I6" s="18"/>
      <x:c r="J6" s="18"/>
      <x:c r="K6" s="18"/>
    </x:row>
    <x:row r="7">
      <x:c r="H7" s="18"/>
      <x:c r="I7" s="18"/>
      <x:c r="J7" s="18"/>
      <x:c r="K7" s="18"/>
    </x:row>
    <x:row r="8">
      <x:c r="H8" s="18"/>
      <x:c r="I8" s="18"/>
      <x:c r="J8" s="18"/>
      <x:c r="K8" s="18"/>
    </x:row>
    <x:row r="9">
      <x:c r="H9" s="18"/>
      <x:c r="I9" s="18"/>
      <x:c r="J9" s="18"/>
      <x:c r="K9" s="18"/>
    </x:row>
    <x:row r="10">
      <x:c r="H10" s="18"/>
      <x:c r="I10" s="18"/>
      <x:c r="J10" s="18"/>
      <x:c r="K1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29.290000915527344" hidden="0" customWidth="1"/>
    <x:col min="3" max="3" width="29.290000915527344" hidden="0" customWidth="1"/>
    <x:col min="4" max="4" width="29.290000915527344" hidden="0" customWidth="1"/>
    <x:col min="5" max="5" width="29.290000915527344" hidden="0" customWidth="1"/>
    <x:col min="6" max="6" width="29.290000915527344" hidden="0" customWidth="1"/>
  </x:cols>
  <x:sheetData>
    <x:row r="1">
      <x:c r="A1" s="16" t="str">
        <x:v>rank</x:v>
      </x:c>
      <x:c r="B1" s="16" t="str">
        <x:v>product_concept</x:v>
      </x:c>
      <x:c r="C1" s="16" t="str">
        <x:v>net_higher_tier_share</x:v>
      </x:c>
      <x:c r="D1" s="16" t="str">
        <x:v>same_ndc_pct_change_qoq</x:v>
      </x:c>
      <x:c r="E1" s="16" t="str">
        <x:v>same_ndc_repricing_dominant_flag</x:v>
      </x:c>
      <x:c r="F1" s="16" t="str">
        <x:v>manufacturer_mix_shift_dominant_flag</x:v>
      </x:c>
    </x:row>
    <x:row r="2">
      <x:c r="A2" t="n">
        <x:v>1</x:v>
      </x:c>
      <x:c r="B2" t="str">
        <x:v>hydroxyzine pamoate</x:v>
      </x:c>
      <x:c r="C2" s="18" t="n">
        <x:v>0.30772525119420197</x:v>
      </x:c>
      <x:c r="D2" s="18" t="n">
        <x:v>-0.1644467213114755</x:v>
      </x:c>
      <x:c r="E2" t="n">
        <x:v>1</x:v>
      </x:c>
      <x:c r="F2" t="n">
        <x:v>0</x:v>
      </x:c>
    </x:row>
    <x:row r="3">
      <x:c r="A3" t="n">
        <x:v>2</x:v>
      </x:c>
      <x:c r="B3" t="str">
        <x:v>dicyclomine hydrochloride</x:v>
      </x:c>
      <x:c r="C3" s="18" t="n">
        <x:v>0.30426303356589574</x:v>
      </x:c>
      <x:c r="D3" s="18" t="n">
        <x:v>0.19324324324324335</x:v>
      </x:c>
      <x:c r="E3" t="n">
        <x:v>1</x:v>
      </x:c>
      <x:c r="F3" t="n">
        <x:v>0</x:v>
      </x:c>
    </x:row>
    <x:row r="4">
      <x:c r="A4" t="n">
        <x:v>3</x:v>
      </x:c>
      <x:c r="B4" t="str">
        <x:v>nortriptyline hydrochloride</x:v>
      </x:c>
      <x:c r="C4" s="18" t="n">
        <x:v>0.23636068500933366</x:v>
      </x:c>
      <x:c r="D4" s="18" t="n">
        <x:v>0.007194244604316595</x:v>
      </x:c>
      <x:c r="E4" t="n">
        <x:v>0</x:v>
      </x:c>
      <x:c r="F4" t="n">
        <x:v>0</x:v>
      </x:c>
    </x:row>
    <x:row r="5">
      <x:c r="A5" t="n">
        <x:v>4</x:v>
      </x:c>
      <x:c r="B5" t="str">
        <x:v>alprazolam</x:v>
      </x:c>
      <x:c r="C5" s="18" t="n">
        <x:v>0.15165591867963713</x:v>
      </x:c>
      <x:c r="D5" s="18" t="n">
        <x:v>0.0161883738042679</x:v>
      </x:c>
      <x:c r="E5" t="n">
        <x:v>0</x:v>
      </x:c>
      <x:c r="F5" t="n">
        <x:v>0</x:v>
      </x:c>
    </x:row>
    <x:row r="6">
      <x:c r="A6" t="n">
        <x:v>5</x:v>
      </x:c>
      <x:c r="B6" t="str">
        <x:v>hydromorphone hydrochloride</x:v>
      </x:c>
      <x:c r="C6" s="18" t="n">
        <x:v>0.09149839803293346</x:v>
      </x:c>
      <x:c r="D6" s="18" t="n">
        <x:v>0.10276210276210282</x:v>
      </x:c>
      <x:c r="E6" t="n">
        <x:v>1</x:v>
      </x:c>
      <x:c r="F6" t="n">
        <x:v>0</x:v>
      </x:c>
    </x:row>
    <x:row r="7">
      <x:c r="A7" t="n">
        <x:v>6</x:v>
      </x:c>
      <x:c r="B7" t="str">
        <x:v>cyclosporine</x:v>
      </x:c>
      <x:c r="C7" s="18" t="n">
        <x:v>0.0752177656234174</x:v>
      </x:c>
      <x:c r="D7" s="18" t="n">
        <x:v>0.0793731469716223</x:v>
      </x:c>
      <x:c r="E7" t="n">
        <x:v>0</x:v>
      </x:c>
      <x:c r="F7" t="n">
        <x:v>0</x:v>
      </x:c>
    </x:row>
    <x:row r="8">
      <x:c r="A8" t="n">
        <x:v>7</x:v>
      </x:c>
      <x:c r="B8" t="str">
        <x:v>diazepam</x:v>
      </x:c>
      <x:c r="C8" s="18" t="n">
        <x:v>0.07122804575299876</x:v>
      </x:c>
      <x:c r="D8" s="18" t="n">
        <x:v>0.36046511627906985</x:v>
      </x:c>
      <x:c r="E8" t="n">
        <x:v>1</x:v>
      </x:c>
      <x:c r="F8" t="n">
        <x:v>0</x:v>
      </x:c>
    </x:row>
    <x:row r="9">
      <x:c r="A9" t="n">
        <x:v>8</x:v>
      </x:c>
      <x:c r="B9" t="str">
        <x:v>morphine sulfate</x:v>
      </x:c>
      <x:c r="C9" s="18" t="n">
        <x:v>0.06965084903276296</x:v>
      </x:c>
      <x:c r="D9" s="18" t="n">
        <x:v>0.03477443609022565</x:v>
      </x:c>
      <x:c r="E9" t="n">
        <x:v>0</x:v>
      </x:c>
      <x:c r="F9" t="n">
        <x:v>0</x:v>
      </x:c>
    </x:row>
    <x:row r="10">
      <x:c r="A10" t="n">
        <x:v>9</x:v>
      </x:c>
      <x:c r="B10" t="str">
        <x:v>dexmethylphenidate hydrochloride</x:v>
      </x:c>
      <x:c r="C10" s="18" t="n">
        <x:v>0.06766100355590676</x:v>
      </x:c>
      <x:c r="D10" s="18" t="n">
        <x:v>-0.0059670321473857</x:v>
      </x:c>
      <x:c r="E10" t="n">
        <x:v>0</x:v>
      </x:c>
      <x:c r="F10" t="n">
        <x:v>0</x:v>
      </x:c>
    </x:row>
    <x:row r="11">
      <x:c r="A11" t="n">
        <x:v>10</x:v>
      </x:c>
      <x:c r="B11" t="str">
        <x:v>clarithromycin</x:v>
      </x:c>
      <x:c r="C11" s="18" t="n">
        <x:v>0.06515853638281263</x:v>
      </x:c>
      <x:c r="D11" s="18" t="n">
        <x:v>-0.12236286919831228</x:v>
      </x:c>
      <x:c r="E11" t="n">
        <x:v>1</x:v>
      </x:c>
      <x:c r="F11" t="n">
        <x:v>0</x:v>
      </x:c>
    </x:row>
    <x:row r="12">
      <x:c r="A12" t="n">
        <x:v>11</x:v>
      </x:c>
      <x:c r="B12" t="str">
        <x:v>oxycodone hydrochloride</x:v>
      </x:c>
      <x:c r="C12" s="18" t="n">
        <x:v>0.06400769741815766</x:v>
      </x:c>
      <x:c r="D12" s="18" t="n">
        <x:v>0.015178256265443085</x:v>
      </x:c>
      <x:c r="E12" t="n">
        <x:v>0</x:v>
      </x:c>
      <x:c r="F12" t="n">
        <x:v>0</x:v>
      </x:c>
    </x:row>
    <x:row r="13">
      <x:c r="A13" t="n">
        <x:v>12</x:v>
      </x:c>
      <x:c r="B13" t="str">
        <x:v>chlorpromazine hydrochloride</x:v>
      </x:c>
      <x:c r="C13" s="18" t="n">
        <x:v>0.054874509530774766</x:v>
      </x:c>
      <x:c r="D13" s="18" t="n">
        <x:v>-0.004593432369038456</x:v>
      </x:c>
      <x:c r="E13" t="n">
        <x:v>0</x:v>
      </x:c>
      <x:c r="F13" t="n">
        <x:v>0</x:v>
      </x:c>
    </x:row>
    <x:row r="14">
      <x:c r="A14" t="n">
        <x:v>13</x:v>
      </x:c>
      <x:c r="B14" t="str">
        <x:v>gentamicin sulfate</x:v>
      </x:c>
      <x:c r="C14" s="18" t="n">
        <x:v>0.04701156083923129</x:v>
      </x:c>
      <x:c r="D14" s="18" t="n">
        <x:v>-0.0012033694344162334</x:v>
      </x:c>
      <x:c r="E14" t="n">
        <x:v>0</x:v>
      </x:c>
      <x:c r="F14" t="n">
        <x:v>0</x:v>
      </x:c>
    </x:row>
    <x:row r="15">
      <x:c r="A15" t="n">
        <x:v>14</x:v>
      </x:c>
      <x:c r="B15" t="str">
        <x:v>haloperidol</x:v>
      </x:c>
      <x:c r="C15" s="18" t="n">
        <x:v>0.04183333913063643</x:v>
      </x:c>
      <x:c r="D15" s="18" t="n">
        <x:v>0.09722722362261442</x:v>
      </x:c>
      <x:c r="E15" t="n">
        <x:v>0</x:v>
      </x:c>
      <x:c r="F15" t="n">
        <x:v>0</x:v>
      </x:c>
    </x:row>
    <x:row r="16">
      <x:c r="A16" t="n">
        <x:v>15</x:v>
      </x:c>
      <x:c r="B16" t="str">
        <x:v>estradiol</x:v>
      </x:c>
      <x:c r="C16" s="18" t="n">
        <x:v>0.041309651234182204</x:v>
      </x:c>
      <x:c r="D16" s="18" t="n">
        <x:v>0.025513599229778156</x:v>
      </x:c>
      <x:c r="E16" t="n">
        <x:v>0</x:v>
      </x:c>
      <x:c r="F16" t="n">
        <x:v>0</x:v>
      </x:c>
    </x:row>
    <x:row r="17">
      <x:c r="A17" t="n">
        <x:v>16</x:v>
      </x:c>
      <x:c r="B17" t="str">
        <x:v>diltiazem hydrochloride</x:v>
      </x:c>
      <x:c r="C17" s="18" t="n">
        <x:v>0.03819378842268955</x:v>
      </x:c>
      <x:c r="D17" s="18" t="n">
        <x:v>0.05715802512829586</x:v>
      </x:c>
      <x:c r="E17" t="n">
        <x:v>0</x:v>
      </x:c>
      <x:c r="F17" t="n">
        <x:v>0</x:v>
      </x:c>
    </x:row>
    <x:row r="18">
      <x:c r="A18" t="n">
        <x:v>17</x:v>
      </x:c>
      <x:c r="B18" t="str">
        <x:v>fluvoxamine maleate</x:v>
      </x:c>
      <x:c r="C18" s="18" t="n">
        <x:v>0.037634803022522194</x:v>
      </x:c>
      <x:c r="D18" s="18" t="n">
        <x:v>-0.1194401840490797</x:v>
      </x:c>
      <x:c r="E18" t="n">
        <x:v>1</x:v>
      </x:c>
      <x:c r="F18" t="n">
        <x:v>0</x:v>
      </x:c>
    </x:row>
    <x:row r="19">
      <x:c r="A19" t="n">
        <x:v>18</x:v>
      </x:c>
      <x:c r="B19" t="str">
        <x:v>methylphenidate hydrochloride</x:v>
      </x:c>
      <x:c r="C19" s="18" t="n">
        <x:v>0.035087319838794144</x:v>
      </x:c>
      <x:c r="D19" s="18" t="n">
        <x:v>-0.10354254470896455</x:v>
      </x:c>
      <x:c r="E19" t="n">
        <x:v>1</x:v>
      </x:c>
      <x:c r="F19" t="n">
        <x:v>0</x:v>
      </x:c>
    </x:row>
    <x:row r="20">
      <x:c r="A20" t="n">
        <x:v>19</x:v>
      </x:c>
      <x:c r="B20" t="str">
        <x:v>amantadine hydrochloride</x:v>
      </x:c>
      <x:c r="C20" s="18" t="n">
        <x:v>0.032691909786881856</x:v>
      </x:c>
      <x:c r="D20" s="18" t="n">
        <x:v>-0.10146071851559425</x:v>
      </x:c>
      <x:c r="E20" t="n">
        <x:v>1</x:v>
      </x:c>
      <x:c r="F20" t="n">
        <x:v>0</x:v>
      </x:c>
    </x:row>
    <x:row r="21">
      <x:c r="A21" t="n">
        <x:v>20</x:v>
      </x:c>
      <x:c r="B21" t="str">
        <x:v>phenobarbital</x:v>
      </x:c>
      <x:c r="C21" s="18" t="n">
        <x:v>0.030372715057399743</x:v>
      </x:c>
      <x:c r="D21" s="18" t="n">
        <x:v>-0.006823821339950481</x:v>
      </x:c>
      <x:c r="E21" t="n">
        <x:v>0</x:v>
      </x:c>
      <x:c r="F21" t="n">
        <x:v>0</x:v>
      </x:c>
    </x:row>
    <x:row r="22">
      <x:c r="A22" t="n">
        <x:v>21</x:v>
      </x:c>
      <x:c r="B22" t="str">
        <x:v>potassium chloride</x:v>
      </x:c>
      <x:c r="C22" s="18" t="n">
        <x:v>0.02868976943255557</x:v>
      </x:c>
      <x:c r="D22" s="18" t="n">
        <x:v>0.0020093770931012894</x:v>
      </x:c>
      <x:c r="E22" t="n">
        <x:v>0</x:v>
      </x:c>
      <x:c r="F22" t="n">
        <x:v>0</x:v>
      </x:c>
    </x:row>
    <x:row r="23">
      <x:c r="A23" t="n">
        <x:v>22</x:v>
      </x:c>
      <x:c r="B23" t="str">
        <x:v>propranolol hydrochloride</x:v>
      </x:c>
      <x:c r="C23" s="18" t="n">
        <x:v>0.024301917031375207</x:v>
      </x:c>
      <x:c r="D23" s="18" t="n">
        <x:v>-0.13284292514063178</x:v>
      </x:c>
      <x:c r="E23" t="n">
        <x:v>1</x:v>
      </x:c>
      <x:c r="F23" t="n">
        <x:v>0</x:v>
      </x:c>
    </x:row>
    <x:row r="24">
      <x:c r="A24" t="n">
        <x:v>23</x:v>
      </x:c>
      <x:c r="B24" t="str">
        <x:v>cimetidine</x:v>
      </x:c>
      <x:c r="C24" s="18" t="n">
        <x:v>0.021548329019916733</x:v>
      </x:c>
      <x:c r="D24" s="18" t="n">
        <x:v>-0.3858188375053034</x:v>
      </x:c>
      <x:c r="E24" t="n">
        <x:v>1</x:v>
      </x:c>
      <x:c r="F24" t="n">
        <x:v>0</x:v>
      </x:c>
    </x:row>
    <x:row r="25">
      <x:c r="A25" t="n">
        <x:v>24</x:v>
      </x:c>
      <x:c r="B25" t="str">
        <x:v>baclofen</x:v>
      </x:c>
      <x:c r="C25" s="18" t="n">
        <x:v>0.021359560887166878</x:v>
      </x:c>
      <x:c r="D25" s="18" t="n">
        <x:v>0.05173463177115038</x:v>
      </x:c>
      <x:c r="E25" t="n">
        <x:v>0</x:v>
      </x:c>
      <x:c r="F25" t="n">
        <x:v>0</x:v>
      </x:c>
    </x:row>
    <x:row r="26">
      <x:c r="A26" t="n">
        <x:v>25</x:v>
      </x:c>
      <x:c r="B26" t="str">
        <x:v>nitroglycerin</x:v>
      </x:c>
      <x:c r="C26" s="18" t="n">
        <x:v>0.020544192841490137</x:v>
      </x:c>
      <x:c r="D26" s="18" t="n">
        <x:v>-0.010376362996834358</x:v>
      </x:c>
      <x:c r="E26" t="n">
        <x:v>0</x:v>
      </x:c>
      <x:c r="F26" t="n">
        <x:v>0</x:v>
      </x:c>
    </x:row>
    <x:row r="27">
      <x:c r="C27" s="18"/>
      <x:c r="D27" s="18"/>
    </x:row>
    <x:row r="28">
      <x:c r="C28" s="18"/>
      <x:c r="D28" s="18"/>
    </x:row>
    <x:row r="29">
      <x:c r="C29" s="18"/>
      <x:c r="D29" s="18"/>
    </x:row>
    <x:row r="30">
      <x:c r="C30" s="18"/>
      <x:c r="D30" s="18"/>
    </x:row>
    <x:row r="31">
      <x:c r="C31" s="18"/>
      <x:c r="D31" s="18"/>
    </x:row>
    <x:row r="32">
      <x:c r="C32" s="18"/>
      <x:c r="D32" s="18"/>
    </x:row>
    <x:row r="33">
      <x:c r="C33" s="18"/>
      <x:c r="D33" s="18"/>
    </x:row>
    <x:row r="34">
      <x:c r="C34" s="18"/>
      <x:c r="D34" s="18"/>
    </x:row>
    <x:row r="35">
      <x:c r="C35" s="18"/>
      <x:c r="D35" s="18"/>
    </x:row>
    <x:row r="36">
      <x:c r="C36" s="18"/>
      <x:c r="D36" s="18"/>
    </x:row>
    <x:row r="37">
      <x:c r="C37" s="18"/>
      <x:c r="D37" s="18"/>
    </x:row>
    <x:row r="38">
      <x:c r="C38" s="18"/>
      <x:c r="D38" s="18"/>
    </x:row>
    <x:row r="39">
      <x:c r="C39" s="18"/>
      <x:c r="D39" s="18"/>
    </x:row>
    <x:row r="40">
      <x:c r="C40" s="18"/>
      <x:c r="D40" s="18"/>
    </x:row>
  </x:sheetData>
  <x:pageMargins left="0.7" right="0.7" top="0.75" bottom="0.75" header="0.3" footer="0.3"/>
  <x:drawing xmlns:r="http://schemas.openxmlformats.org/officeDocument/2006/relationships" r:id="R296089fef1ff47f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6.43000030517578" hidden="0" customWidth="1"/>
  </x:cols>
  <x:sheetData>
    <x:row r="1">
      <x:c r="A1" s="16" t="str">
        <x:v>segment</x:v>
      </x:c>
      <x:c r="B1" s="16" t="str">
        <x:v>sponsor_count</x:v>
      </x:c>
    </x:row>
    <x:row r="2">
      <x:c r="A2" t="str">
        <x:v>churn_dominant</x:v>
      </x:c>
      <x:c r="B2" t="n">
        <x:v>111</x:v>
      </x:c>
    </x:row>
    <x:row r="3">
      <x:c r="A3" t="str">
        <x:v>mixed_high_activity</x:v>
      </x:c>
      <x:c r="B3" t="n">
        <x:v>110</x:v>
      </x:c>
    </x:row>
    <x:row r="4">
      <x:c r="A4" t="str">
        <x:v>mixed_moderate</x:v>
      </x:c>
      <x:c r="B4" t="n">
        <x:v>20</x:v>
      </x:c>
    </x:row>
    <x:row r="5">
      <x:c r="A5" t="str">
        <x:v>repricing_dominant</x:v>
      </x:c>
      <x:c r="B5" t="n">
        <x:v>185</x:v>
      </x:c>
    </x:row>
  </x:sheetData>
  <x:pageMargins left="0.7" right="0.7" top="0.75" bottom="0.75" header="0.3" footer="0.3"/>
  <x:drawing xmlns:r="http://schemas.openxmlformats.org/officeDocument/2006/relationships" r:id="R0f7682a3b6bb404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6.43000030517578" hidden="0" customWidth="1"/>
    <x:col min="3" max="3" width="26.43000030517578" hidden="0" customWidth="1"/>
    <x:col min="4" max="4" width="26.43000030517578" hidden="0" customWidth="1"/>
    <x:col min="5" max="5" width="26.43000030517578" hidden="0" customWidth="1"/>
    <x:col min="6" max="6" width="26.43000030517578" hidden="0" customWidth="1"/>
    <x:col min="7" max="7" width="26.43000030517578" hidden="0" customWidth="1"/>
  </x:cols>
  <x:sheetData>
    <x:row r="1">
      <x:c r="A1" s="16" t="str">
        <x:v>pbm</x:v>
      </x:c>
      <x:c r="B1" s="16" t="str">
        <x:v>plan_type</x:v>
      </x:c>
      <x:c r="C1" s="16" t="str">
        <x:v>plan_count</x:v>
      </x:c>
      <x:c r="D1" s="16" t="str">
        <x:v>avg_mail_share</x:v>
      </x:c>
      <x:c r="E1" s="16" t="str">
        <x:v>avg_retail_share</x:v>
      </x:c>
      <x:c r="F1" s="16" t="str">
        <x:v>mail_dominant_plan_rate</x:v>
      </x:c>
      <x:c r="G1" s="16" t="str">
        <x:v>pbm_mail_steering_score</x:v>
      </x:c>
    </x:row>
    <x:row r="2">
      <x:c r="A2" t="str">
        <x:v>CarelonRx</x:v>
      </x:c>
      <x:c r="B2" t="str">
        <x:v>MA-PD</x:v>
      </x:c>
      <x:c r="C2" t="n">
        <x:v>174</x:v>
      </x:c>
      <x:c r="D2" s="18" t="n">
        <x:v>0.000446149</x:v>
      </x:c>
      <x:c r="E2" s="18" t="n">
        <x:v>0.999553851</x:v>
      </x:c>
      <x:c r="F2" s="18" t="n">
        <x:v>0</x:v>
      </x:c>
      <x:c r="G2" s="18" t="n">
        <x:v>0.312932184</x:v>
      </x:c>
    </x:row>
    <x:row r="3">
      <x:c r="A3" t="str">
        <x:v>CarelonRx</x:v>
      </x:c>
      <x:c r="B3" t="str">
        <x:v>PDP</x:v>
      </x:c>
      <x:c r="C3" t="n">
        <x:v>2</x:v>
      </x:c>
      <x:c r="D3" s="18" t="n">
        <x:v>0.0000987</x:v>
      </x:c>
      <x:c r="E3" s="18" t="n">
        <x:v>0.99990127</x:v>
      </x:c>
      <x:c r="F3" s="18" t="n">
        <x:v>0</x:v>
      </x:c>
      <x:c r="G3" s="18" t="n">
        <x:v>0.069249767</x:v>
      </x:c>
    </x:row>
    <x:row r="4">
      <x:c r="A4" t="str">
        <x:v>Caremark</x:v>
      </x:c>
      <x:c r="B4" t="str">
        <x:v>MA-PD</x:v>
      </x:c>
      <x:c r="C4" t="n">
        <x:v>642</x:v>
      </x:c>
      <x:c r="D4" s="18" t="n">
        <x:v>0.00010945</x:v>
      </x:c>
      <x:c r="E4" s="18" t="n">
        <x:v>0.99989055</x:v>
      </x:c>
      <x:c r="F4" s="18" t="n">
        <x:v>0</x:v>
      </x:c>
      <x:c r="G4" s="18" t="n">
        <x:v>0.076769377</x:v>
      </x:c>
    </x:row>
    <x:row r="5">
      <x:c r="A5" t="str">
        <x:v>Caremark</x:v>
      </x:c>
      <x:c r="B5" t="str">
        <x:v>PDP</x:v>
      </x:c>
      <x:c r="C5" t="n">
        <x:v>33</x:v>
      </x:c>
      <x:c r="D5" s="18" t="n">
        <x:v>0.0000962</x:v>
      </x:c>
      <x:c r="E5" s="18" t="n">
        <x:v>0.999903762</x:v>
      </x:c>
      <x:c r="F5" s="18" t="n">
        <x:v>0</x:v>
      </x:c>
      <x:c r="G5" s="18" t="n">
        <x:v>0.067502285</x:v>
      </x:c>
    </x:row>
    <x:row r="6">
      <x:c r="A6" t="str">
        <x:v>EnvisionRx</x:v>
      </x:c>
      <x:c r="B6" t="str">
        <x:v>MA-PD</x:v>
      </x:c>
      <x:c r="C6" t="n">
        <x:v>108</x:v>
      </x:c>
      <x:c r="D6" s="18" t="n">
        <x:v>0.00112884</x:v>
      </x:c>
      <x:c r="E6" s="18" t="n">
        <x:v>0.99887116</x:v>
      </x:c>
      <x:c r="F6" s="18" t="n">
        <x:v>0</x:v>
      </x:c>
      <x:c r="G6" s="18" t="n">
        <x:v>0.791776905</x:v>
      </x:c>
    </x:row>
    <x:row r="7">
      <x:c r="A7" t="str">
        <x:v>Express Scripts</x:v>
      </x:c>
      <x:c r="B7" t="str">
        <x:v>MA-PD</x:v>
      </x:c>
      <x:c r="C7" t="n">
        <x:v>536</x:v>
      </x:c>
      <x:c r="D7" s="18" t="n">
        <x:v>0.001292871</x:v>
      </x:c>
      <x:c r="E7" s="18" t="n">
        <x:v>0.998707129</x:v>
      </x:c>
      <x:c r="F7" s="18" t="n">
        <x:v>0</x:v>
      </x:c>
      <x:c r="G7" s="18" t="n">
        <x:v>0.906829973</x:v>
      </x:c>
    </x:row>
    <x:row r="8">
      <x:c r="A8" t="str">
        <x:v>Express Scripts</x:v>
      </x:c>
      <x:c r="B8" t="str">
        <x:v>PDP</x:v>
      </x:c>
      <x:c r="C8" t="n">
        <x:v>129</x:v>
      </x:c>
      <x:c r="D8" s="18" t="n">
        <x:v>0.001368126</x:v>
      </x:c>
      <x:c r="E8" s="18" t="n">
        <x:v>0.998631874</x:v>
      </x:c>
      <x:c r="F8" s="18" t="n">
        <x:v>0</x:v>
      </x:c>
      <x:c r="G8" s="18" t="n">
        <x:v>0.95961461</x:v>
      </x:c>
    </x:row>
    <x:row r="9">
      <x:c r="A9" t="str">
        <x:v>Humana Pharmacy Solutions</x:v>
      </x:c>
      <x:c r="B9" t="str">
        <x:v>MA-PD</x:v>
      </x:c>
      <x:c r="C9" t="n">
        <x:v>1306</x:v>
      </x:c>
      <x:c r="D9" s="18" t="n">
        <x:v>0.000329144</x:v>
      </x:c>
      <x:c r="E9" s="18" t="n">
        <x:v>0.999670856</x:v>
      </x:c>
      <x:c r="F9" s="18" t="n">
        <x:v>0</x:v>
      </x:c>
      <x:c r="G9" s="18" t="n">
        <x:v>0.230863999</x:v>
      </x:c>
    </x:row>
    <x:row r="10">
      <x:c r="A10" t="str">
        <x:v>Humana Pharmacy Solutions</x:v>
      </x:c>
      <x:c r="B10" t="str">
        <x:v>PDP</x:v>
      </x:c>
      <x:c r="C10" t="n">
        <x:v>103</x:v>
      </x:c>
      <x:c r="D10" s="18" t="n">
        <x:v>0.0000639</x:v>
      </x:c>
      <x:c r="E10" s="18" t="n">
        <x:v>0.999936138</x:v>
      </x:c>
      <x:c r="F10" s="18" t="n">
        <x:v>0</x:v>
      </x:c>
      <x:c r="G10" s="18" t="n">
        <x:v>0.044793019</x:v>
      </x:c>
    </x:row>
    <x:row r="11">
      <x:c r="A11" t="str">
        <x:v>Kaiser Permanente</x:v>
      </x:c>
      <x:c r="B11" t="str">
        <x:v>MA-PD</x:v>
      </x:c>
      <x:c r="C11" t="n">
        <x:v>124</x:v>
      </x:c>
      <x:c r="D11" s="18" t="n">
        <x:v>0.041479598</x:v>
      </x:c>
      <x:c r="E11" s="18" t="n">
        <x:v>0.958520402</x:v>
      </x:c>
      <x:c r="F11" s="18" t="n">
        <x:v>0</x:v>
      </x:c>
      <x:c r="G11" s="18" t="n">
        <x:v>29.09411417</x:v>
      </x:c>
    </x:row>
    <x:row r="12">
      <x:c r="A12" t="str">
        <x:v>Navitus</x:v>
      </x:c>
      <x:c r="B12" t="str">
        <x:v>MA-PD</x:v>
      </x:c>
      <x:c r="C12" t="n">
        <x:v>98</x:v>
      </x:c>
      <x:c r="D12" s="18" t="n">
        <x:v>0.000627036</x:v>
      </x:c>
      <x:c r="E12" s="18" t="n">
        <x:v>0.999372964</x:v>
      </x:c>
      <x:c r="F12" s="18" t="n">
        <x:v>0</x:v>
      </x:c>
      <x:c r="G12" s="18" t="n">
        <x:v>0.439808143</x:v>
      </x:c>
    </x:row>
    <x:row r="13">
      <x:c r="A13" t="str">
        <x:v>OptumRx</x:v>
      </x:c>
      <x:c r="B13" t="str">
        <x:v>MA-PD</x:v>
      </x:c>
      <x:c r="C13" t="n">
        <x:v>1576</x:v>
      </x:c>
      <x:c r="D13" s="18" t="n">
        <x:v>0.000372452</x:v>
      </x:c>
      <x:c r="E13" s="18" t="n">
        <x:v>0.999627548</x:v>
      </x:c>
      <x:c r="F13" s="18" t="n">
        <x:v>0</x:v>
      </x:c>
      <x:c r="G13" s="18" t="n">
        <x:v>0.261240692</x:v>
      </x:c>
    </x:row>
    <x:row r="14">
      <x:c r="A14" t="str">
        <x:v>OptumRx</x:v>
      </x:c>
      <x:c r="B14" t="str">
        <x:v>PDP</x:v>
      </x:c>
      <x:c r="C14" t="n">
        <x:v>77</x:v>
      </x:c>
      <x:c r="D14" s="18" t="n">
        <x:v>0.000862639</x:v>
      </x:c>
      <x:c r="E14" s="18" t="n">
        <x:v>0.999137361</x:v>
      </x:c>
      <x:c r="F14" s="18" t="n">
        <x:v>0</x:v>
      </x:c>
      <x:c r="G14" s="18" t="n">
        <x:v>0.605061921</x:v>
      </x:c>
    </x:row>
    <x:row r="15">
      <x:c r="A15" t="str">
        <x:v>Prime Therapeutics</x:v>
      </x:c>
      <x:c r="B15" t="str">
        <x:v>MA-PD</x:v>
      </x:c>
      <x:c r="C15" t="n">
        <x:v>583</x:v>
      </x:c>
      <x:c r="D15" s="18" t="n">
        <x:v>0.000709388</x:v>
      </x:c>
      <x:c r="E15" s="18" t="n">
        <x:v>0.999290612</x:v>
      </x:c>
      <x:c r="F15" s="18" t="n">
        <x:v>0</x:v>
      </x:c>
      <x:c r="G15" s="18" t="n">
        <x:v>0.497569989</x:v>
      </x:c>
    </x:row>
    <x:row r="16">
      <x:c r="A16" t="str">
        <x:v>Prime Therapeutics</x:v>
      </x:c>
      <x:c r="B16" t="str">
        <x:v>PDP</x:v>
      </x:c>
      <x:c r="C16" t="n">
        <x:v>23</x:v>
      </x:c>
      <x:c r="D16" s="18" t="n">
        <x:v>0.000449587</x:v>
      </x:c>
      <x:c r="E16" s="18" t="n">
        <x:v>0.999550413</x:v>
      </x:c>
      <x:c r="F16" s="18" t="n">
        <x:v>0</x:v>
      </x:c>
      <x:c r="G16" s="18" t="n">
        <x:v>0.315343854</x:v>
      </x:c>
    </x:row>
    <x:row r="17">
      <x:c r="D17" s="18"/>
      <x:c r="E17" s="18"/>
      <x:c r="F17" s="18"/>
      <x:c r="G17" s="18"/>
    </x:row>
    <x:row r="18">
      <x:c r="D18" s="18"/>
      <x:c r="E18" s="18"/>
      <x:c r="F18" s="18"/>
      <x:c r="G18" s="18"/>
    </x:row>
    <x:row r="19">
      <x:c r="D19" s="18"/>
      <x:c r="E19" s="18"/>
      <x:c r="F19" s="18"/>
      <x:c r="G19" s="18"/>
    </x:row>
    <x:row r="20">
      <x:c r="D20" s="18"/>
      <x:c r="E20" s="18"/>
      <x:c r="F20" s="18"/>
      <x:c r="G20" s="18"/>
    </x:row>
    <x:row r="21">
      <x:c r="D21" s="18"/>
      <x:c r="E21" s="18"/>
      <x:c r="F21" s="18"/>
      <x:c r="G21" s="18"/>
    </x:row>
    <x:row r="22">
      <x:c r="D22" s="18"/>
      <x:c r="E22" s="18"/>
      <x:c r="F22" s="18"/>
      <x:c r="G22" s="18"/>
    </x:row>
    <x:row r="23">
      <x:c r="D23" s="18"/>
      <x:c r="E23" s="18"/>
      <x:c r="F23" s="18"/>
      <x:c r="G23" s="18"/>
    </x:row>
    <x:row r="24">
      <x:c r="D24" s="18"/>
      <x:c r="E24" s="18"/>
      <x:c r="F24" s="18"/>
      <x:c r="G24" s="18"/>
    </x:row>
    <x:row r="25">
      <x:c r="D25" s="18"/>
      <x:c r="E25" s="18"/>
      <x:c r="F25" s="18"/>
      <x:c r="G25" s="18"/>
    </x:row>
    <x:row r="26">
      <x:c r="D26" s="18"/>
      <x:c r="E26" s="18"/>
      <x:c r="F26" s="18"/>
      <x:c r="G26" s="18"/>
    </x:row>
    <x:row r="27">
      <x:c r="D27" s="18"/>
      <x:c r="E27" s="18"/>
      <x:c r="F27" s="18"/>
      <x:c r="G27" s="18"/>
    </x:row>
    <x:row r="28">
      <x:c r="D28" s="18"/>
      <x:c r="E28" s="18"/>
      <x:c r="F28" s="18"/>
      <x:c r="G28" s="18"/>
    </x:row>
    <x:row r="29">
      <x:c r="D29" s="18"/>
      <x:c r="E29" s="18"/>
      <x:c r="F29" s="18"/>
      <x:c r="G29" s="18"/>
    </x:row>
    <x:row r="30">
      <x:c r="D30" s="18"/>
      <x:c r="E30" s="18"/>
      <x:c r="F30" s="18"/>
      <x:c r="G30" s="18"/>
    </x:row>
    <x:row r="31">
      <x:c r="D31" s="18"/>
      <x:c r="E31" s="18"/>
      <x:c r="F31" s="18"/>
      <x:c r="G31" s="18"/>
    </x:row>
    <x:row r="32">
      <x:c r="D32" s="18"/>
      <x:c r="E32" s="18"/>
      <x:c r="F32" s="18"/>
      <x:c r="G32" s="18"/>
    </x:row>
    <x:row r="33">
      <x:c r="D33" s="18"/>
      <x:c r="E33" s="18"/>
      <x:c r="F33" s="18"/>
      <x:c r="G33" s="18"/>
    </x:row>
    <x:row r="34">
      <x:c r="D34" s="18"/>
      <x:c r="E34" s="18"/>
      <x:c r="F34" s="18"/>
      <x:c r="G34" s="18"/>
    </x:row>
    <x:row r="35">
      <x:c r="D35" s="18"/>
      <x:c r="E35" s="18"/>
      <x:c r="F35" s="18"/>
      <x:c r="G35" s="18"/>
    </x:row>
    <x:row r="36">
      <x:c r="D36" s="18"/>
      <x:c r="E36" s="18"/>
      <x:c r="F36" s="18"/>
      <x:c r="G36" s="18"/>
    </x:row>
    <x:row r="37">
      <x:c r="D37" s="18"/>
      <x:c r="E37" s="18"/>
      <x:c r="F37" s="18"/>
      <x:c r="G37" s="18"/>
    </x:row>
    <x:row r="38">
      <x:c r="D38" s="18"/>
      <x:c r="E38" s="18"/>
      <x:c r="F38" s="18"/>
      <x:c r="G38" s="18"/>
    </x:row>
    <x:row r="39">
      <x:c r="D39" s="18"/>
      <x:c r="E39" s="18"/>
      <x:c r="F39" s="18"/>
      <x:c r="G39" s="18"/>
    </x:row>
    <x:row r="40">
      <x:c r="D40" s="18"/>
      <x:c r="E40" s="18"/>
      <x:c r="F40" s="18"/>
      <x:c r="G40" s="18"/>
    </x:row>
    <x:row r="41">
      <x:c r="D41" s="18"/>
      <x:c r="E41" s="18"/>
      <x:c r="F41" s="18"/>
      <x:c r="G41" s="18"/>
    </x:row>
    <x:row r="42">
      <x:c r="D42" s="18"/>
      <x:c r="E42" s="18"/>
      <x:c r="F42" s="18"/>
      <x:c r="G42" s="18"/>
    </x:row>
    <x:row r="43">
      <x:c r="D43" s="18"/>
      <x:c r="E43" s="18"/>
      <x:c r="F43" s="18"/>
      <x:c r="G43" s="18"/>
    </x:row>
    <x:row r="44">
      <x:c r="D44" s="18"/>
      <x:c r="E44" s="18"/>
      <x:c r="F44" s="18"/>
      <x:c r="G44" s="18"/>
    </x:row>
    <x:row r="45">
      <x:c r="D45" s="18"/>
      <x:c r="E45" s="18"/>
      <x:c r="F45" s="18"/>
      <x:c r="G45" s="18"/>
    </x:row>
    <x:row r="46">
      <x:c r="D46" s="18"/>
      <x:c r="E46" s="18"/>
      <x:c r="F46" s="18"/>
      <x:c r="G46" s="18"/>
    </x:row>
    <x:row r="47">
      <x:c r="D47" s="18"/>
      <x:c r="E47" s="18"/>
      <x:c r="F47" s="18"/>
      <x:c r="G47" s="18"/>
    </x:row>
    <x:row r="48">
      <x:c r="D48" s="18"/>
      <x:c r="E48" s="18"/>
      <x:c r="F48" s="18"/>
      <x:c r="G48" s="18"/>
    </x:row>
    <x:row r="49">
      <x:c r="D49" s="18"/>
      <x:c r="E49" s="18"/>
      <x:c r="F49" s="18"/>
      <x:c r="G49" s="18"/>
    </x:row>
    <x:row r="50">
      <x:c r="D50" s="18"/>
      <x:c r="E50" s="18"/>
      <x:c r="F50" s="18"/>
      <x:c r="G50" s="18"/>
    </x:row>
    <x:row r="51">
      <x:c r="D51" s="18"/>
      <x:c r="E51" s="18"/>
      <x:c r="F51" s="18"/>
      <x:c r="G51" s="18"/>
    </x:row>
    <x:row r="52">
      <x:c r="D52" s="18"/>
      <x:c r="E52" s="18"/>
      <x:c r="F52" s="18"/>
      <x:c r="G52" s="18"/>
    </x:row>
    <x:row r="53">
      <x:c r="D53" s="18"/>
      <x:c r="E53" s="18"/>
      <x:c r="F53" s="18"/>
      <x:c r="G53" s="18"/>
    </x:row>
    <x:row r="54">
      <x:c r="D54" s="18"/>
      <x:c r="E54" s="18"/>
      <x:c r="F54" s="18"/>
      <x:c r="G54" s="18"/>
    </x:row>
    <x:row r="55">
      <x:c r="D55" s="18"/>
      <x:c r="E55" s="18"/>
      <x:c r="F55" s="18"/>
      <x:c r="G55" s="18"/>
    </x:row>
    <x:row r="56">
      <x:c r="D56" s="18"/>
      <x:c r="E56" s="18"/>
      <x:c r="F56" s="18"/>
      <x:c r="G56" s="18"/>
    </x:row>
    <x:row r="57">
      <x:c r="D57" s="18"/>
      <x:c r="E57" s="18"/>
      <x:c r="F57" s="18"/>
      <x:c r="G57" s="18"/>
    </x:row>
    <x:row r="58">
      <x:c r="D58" s="18"/>
      <x:c r="E58" s="18"/>
      <x:c r="F58" s="18"/>
      <x:c r="G58" s="18"/>
    </x:row>
    <x:row r="59">
      <x:c r="D59" s="18"/>
      <x:c r="E59" s="18"/>
      <x:c r="F59" s="18"/>
      <x:c r="G59" s="18"/>
    </x:row>
    <x:row r="60">
      <x:c r="D60" s="18"/>
      <x:c r="E60" s="18"/>
      <x:c r="F60" s="18"/>
      <x:c r="G60" s="18"/>
    </x:row>
    <x:row r="61">
      <x:c r="D61" s="18"/>
      <x:c r="E61" s="18"/>
      <x:c r="F61" s="18"/>
      <x:c r="G61" s="18"/>
    </x:row>
    <x:row r="62">
      <x:c r="D62" s="18"/>
      <x:c r="E62" s="18"/>
      <x:c r="F62" s="18"/>
      <x:c r="G62" s="18"/>
    </x:row>
    <x:row r="63">
      <x:c r="D63" s="18"/>
      <x:c r="E63" s="18"/>
      <x:c r="F63" s="18"/>
      <x:c r="G63" s="18"/>
    </x:row>
    <x:row r="64">
      <x:c r="D64" s="18"/>
      <x:c r="E64" s="18"/>
      <x:c r="F64" s="18"/>
      <x:c r="G64" s="18"/>
    </x:row>
    <x:row r="65">
      <x:c r="D65" s="18"/>
      <x:c r="E65" s="18"/>
      <x:c r="F65" s="18"/>
      <x:c r="G65" s="18"/>
    </x:row>
    <x:row r="66">
      <x:c r="D66" s="18"/>
      <x:c r="E66" s="18"/>
      <x:c r="F66" s="18"/>
      <x:c r="G66" s="18"/>
    </x:row>
    <x:row r="67">
      <x:c r="D67" s="18"/>
      <x:c r="E67" s="18"/>
      <x:c r="F67" s="18"/>
      <x:c r="G67" s="18"/>
    </x:row>
    <x:row r="68">
      <x:c r="D68" s="18"/>
      <x:c r="E68" s="18"/>
      <x:c r="F68" s="18"/>
      <x:c r="G68" s="18"/>
    </x:row>
    <x:row r="69">
      <x:c r="D69" s="18"/>
      <x:c r="E69" s="18"/>
      <x:c r="F69" s="18"/>
      <x:c r="G69" s="18"/>
    </x:row>
    <x:row r="70">
      <x:c r="D70" s="18"/>
      <x:c r="E70" s="18"/>
      <x:c r="F70" s="18"/>
      <x:c r="G70" s="18"/>
    </x:row>
    <x:row r="71">
      <x:c r="D71" s="18"/>
      <x:c r="E71" s="18"/>
      <x:c r="F71" s="18"/>
      <x:c r="G71" s="18"/>
    </x:row>
    <x:row r="72">
      <x:c r="D72" s="18"/>
      <x:c r="E72" s="18"/>
      <x:c r="F72" s="18"/>
      <x:c r="G72" s="18"/>
    </x:row>
    <x:row r="73">
      <x:c r="D73" s="18"/>
      <x:c r="E73" s="18"/>
      <x:c r="F73" s="18"/>
      <x:c r="G73" s="18"/>
    </x:row>
    <x:row r="74">
      <x:c r="D74" s="18"/>
      <x:c r="E74" s="18"/>
      <x:c r="F74" s="18"/>
      <x:c r="G74" s="18"/>
    </x:row>
    <x:row r="75">
      <x:c r="D75" s="18"/>
      <x:c r="E75" s="18"/>
      <x:c r="F75" s="18"/>
      <x:c r="G75" s="18"/>
    </x:row>
    <x:row r="76">
      <x:c r="D76" s="18"/>
      <x:c r="E76" s="18"/>
      <x:c r="F76" s="18"/>
      <x:c r="G76" s="18"/>
    </x:row>
    <x:row r="77">
      <x:c r="D77" s="18"/>
      <x:c r="E77" s="18"/>
      <x:c r="F77" s="18"/>
      <x:c r="G77" s="18"/>
    </x:row>
    <x:row r="78">
      <x:c r="D78" s="18"/>
      <x:c r="E78" s="18"/>
      <x:c r="F78" s="18"/>
      <x:c r="G78" s="18"/>
    </x:row>
    <x:row r="79">
      <x:c r="D79" s="18"/>
      <x:c r="E79" s="18"/>
      <x:c r="F79" s="18"/>
      <x:c r="G79" s="18"/>
    </x:row>
    <x:row r="80">
      <x:c r="D80" s="18"/>
      <x:c r="E80" s="18"/>
      <x:c r="F80" s="18"/>
      <x:c r="G80" s="18"/>
    </x:row>
    <x:row r="81">
      <x:c r="D81" s="18"/>
      <x:c r="E81" s="18"/>
      <x:c r="F81" s="18"/>
      <x:c r="G81" s="18"/>
    </x:row>
    <x:row r="82">
      <x:c r="D82" s="18"/>
      <x:c r="E82" s="18"/>
      <x:c r="F82" s="18"/>
      <x:c r="G82" s="18"/>
    </x:row>
    <x:row r="83">
      <x:c r="D83" s="18"/>
      <x:c r="E83" s="18"/>
      <x:c r="F83" s="18"/>
      <x:c r="G83" s="18"/>
    </x:row>
    <x:row r="84">
      <x:c r="D84" s="18"/>
      <x:c r="E84" s="18"/>
      <x:c r="F84" s="18"/>
      <x:c r="G84" s="18"/>
    </x:row>
    <x:row r="85">
      <x:c r="D85" s="18"/>
      <x:c r="E85" s="18"/>
      <x:c r="F85" s="18"/>
      <x:c r="G85" s="18"/>
    </x:row>
    <x:row r="86">
      <x:c r="D86" s="18"/>
      <x:c r="E86" s="18"/>
      <x:c r="F86" s="18"/>
      <x:c r="G86" s="18"/>
    </x:row>
    <x:row r="87">
      <x:c r="D87" s="18"/>
      <x:c r="E87" s="18"/>
      <x:c r="F87" s="18"/>
      <x:c r="G87" s="18"/>
    </x:row>
    <x:row r="88">
      <x:c r="D88" s="18"/>
      <x:c r="E88" s="18"/>
      <x:c r="F88" s="18"/>
      <x:c r="G88" s="18"/>
    </x:row>
    <x:row r="89">
      <x:c r="D89" s="18"/>
      <x:c r="E89" s="18"/>
      <x:c r="F89" s="18"/>
      <x:c r="G89" s="18"/>
    </x:row>
    <x:row r="90">
      <x:c r="D90" s="18"/>
      <x:c r="E90" s="18"/>
      <x:c r="F90" s="18"/>
      <x:c r="G90" s="18"/>
    </x:row>
    <x:row r="91">
      <x:c r="D91" s="18"/>
      <x:c r="E91" s="18"/>
      <x:c r="F91" s="18"/>
      <x:c r="G91" s="18"/>
    </x:row>
    <x:row r="92">
      <x:c r="D92" s="18"/>
      <x:c r="E92" s="18"/>
      <x:c r="F92" s="18"/>
      <x:c r="G92" s="18"/>
    </x:row>
    <x:row r="93">
      <x:c r="D93" s="18"/>
      <x:c r="E93" s="18"/>
      <x:c r="F93" s="18"/>
      <x:c r="G93" s="18"/>
    </x:row>
    <x:row r="94">
      <x:c r="D94" s="18"/>
      <x:c r="E94" s="18"/>
      <x:c r="F94" s="18"/>
      <x:c r="G94" s="18"/>
    </x:row>
    <x:row r="95">
      <x:c r="D95" s="18"/>
      <x:c r="E95" s="18"/>
      <x:c r="F95" s="18"/>
      <x:c r="G95" s="18"/>
    </x:row>
    <x:row r="96">
      <x:c r="D96" s="18"/>
      <x:c r="E96" s="18"/>
      <x:c r="F96" s="18"/>
      <x:c r="G96" s="18"/>
    </x:row>
    <x:row r="97">
      <x:c r="D97" s="18"/>
      <x:c r="E97" s="18"/>
      <x:c r="F97" s="18"/>
      <x:c r="G97" s="18"/>
    </x:row>
    <x:row r="98">
      <x:c r="D98" s="18"/>
      <x:c r="E98" s="18"/>
      <x:c r="F98" s="18"/>
      <x:c r="G98" s="18"/>
    </x:row>
    <x:row r="99">
      <x:c r="D99" s="18"/>
      <x:c r="E99" s="18"/>
      <x:c r="F99" s="18"/>
      <x:c r="G99" s="18"/>
    </x:row>
    <x:row r="100">
      <x:c r="D100" s="18"/>
      <x:c r="E100" s="18"/>
      <x:c r="F100" s="18"/>
      <x:c r="G100" s="18"/>
    </x:row>
    <x:row r="101">
      <x:c r="D101" s="18"/>
      <x:c r="E101" s="18"/>
      <x:c r="F101" s="18"/>
      <x:c r="G101" s="18"/>
    </x:row>
    <x:row r="102">
      <x:c r="D102" s="18"/>
      <x:c r="E102" s="18"/>
      <x:c r="F102" s="18"/>
      <x:c r="G102" s="18"/>
    </x:row>
    <x:row r="103">
      <x:c r="D103" s="18"/>
      <x:c r="E103" s="18"/>
      <x:c r="F103" s="18"/>
      <x:c r="G103" s="18"/>
    </x:row>
    <x:row r="104">
      <x:c r="D104" s="18"/>
      <x:c r="E104" s="18"/>
      <x:c r="F104" s="18"/>
      <x:c r="G104" s="18"/>
    </x:row>
    <x:row r="105">
      <x:c r="D105" s="18"/>
      <x:c r="E105" s="18"/>
      <x:c r="F105" s="18"/>
      <x:c r="G105" s="18"/>
    </x:row>
    <x:row r="106">
      <x:c r="D106" s="18"/>
      <x:c r="E106" s="18"/>
      <x:c r="F106" s="18"/>
      <x:c r="G106" s="18"/>
    </x:row>
    <x:row r="107">
      <x:c r="D107" s="18"/>
      <x:c r="E107" s="18"/>
      <x:c r="F107" s="18"/>
      <x:c r="G107" s="18"/>
    </x:row>
    <x:row r="108">
      <x:c r="D108" s="18"/>
      <x:c r="E108" s="18"/>
      <x:c r="F108" s="18"/>
      <x:c r="G108" s="18"/>
    </x:row>
    <x:row r="109">
      <x:c r="D109" s="18"/>
      <x:c r="E109" s="18"/>
      <x:c r="F109" s="18"/>
      <x:c r="G109" s="18"/>
    </x:row>
    <x:row r="110">
      <x:c r="D110" s="18"/>
      <x:c r="E110" s="18"/>
      <x:c r="F110" s="18"/>
      <x:c r="G110" s="18"/>
    </x:row>
    <x:row r="111">
      <x:c r="D111" s="18"/>
      <x:c r="E111" s="18"/>
      <x:c r="F111" s="18"/>
      <x:c r="G111" s="18"/>
    </x:row>
    <x:row r="112">
      <x:c r="D112" s="18"/>
      <x:c r="E112" s="18"/>
      <x:c r="F112" s="18"/>
      <x:c r="G112" s="18"/>
    </x:row>
    <x:row r="113">
      <x:c r="D113" s="18"/>
      <x:c r="E113" s="18"/>
      <x:c r="F113" s="18"/>
      <x:c r="G113" s="18"/>
    </x:row>
    <x:row r="114">
      <x:c r="D114" s="18"/>
      <x:c r="E114" s="18"/>
      <x:c r="F114" s="18"/>
      <x:c r="G114" s="18"/>
    </x:row>
    <x:row r="115">
      <x:c r="D115" s="18"/>
      <x:c r="E115" s="18"/>
      <x:c r="F115" s="18"/>
      <x:c r="G115" s="18"/>
    </x:row>
    <x:row r="116">
      <x:c r="D116" s="18"/>
      <x:c r="E116" s="18"/>
      <x:c r="F116" s="18"/>
      <x:c r="G116" s="18"/>
    </x:row>
    <x:row r="117">
      <x:c r="D117" s="18"/>
      <x:c r="E117" s="18"/>
      <x:c r="F117" s="18"/>
      <x:c r="G117" s="18"/>
    </x:row>
    <x:row r="118">
      <x:c r="D118" s="18"/>
      <x:c r="E118" s="18"/>
      <x:c r="F118" s="18"/>
      <x:c r="G118" s="18"/>
    </x:row>
    <x:row r="119">
      <x:c r="D119" s="18"/>
      <x:c r="E119" s="18"/>
      <x:c r="F119" s="18"/>
      <x:c r="G119" s="18"/>
    </x:row>
    <x:row r="120">
      <x:c r="D120" s="18"/>
      <x:c r="E120" s="18"/>
      <x:c r="F120" s="18"/>
      <x:c r="G120" s="18"/>
    </x:row>
    <x:row r="121">
      <x:c r="D121" s="18"/>
      <x:c r="E121" s="18"/>
      <x:c r="F121" s="18"/>
      <x:c r="G121" s="18"/>
    </x:row>
    <x:row r="122">
      <x:c r="D122" s="18"/>
      <x:c r="E122" s="18"/>
      <x:c r="F122" s="18"/>
      <x:c r="G122" s="18"/>
    </x:row>
    <x:row r="123">
      <x:c r="D123" s="18"/>
      <x:c r="E123" s="18"/>
      <x:c r="F123" s="18"/>
      <x:c r="G123" s="18"/>
    </x:row>
    <x:row r="124">
      <x:c r="D124" s="18"/>
      <x:c r="E124" s="18"/>
      <x:c r="F124" s="18"/>
      <x:c r="G124" s="18"/>
    </x:row>
    <x:row r="125">
      <x:c r="D125" s="18"/>
      <x:c r="E125" s="18"/>
      <x:c r="F125" s="18"/>
      <x:c r="G125" s="18"/>
    </x:row>
    <x:row r="126">
      <x:c r="D126" s="18"/>
      <x:c r="E126" s="18"/>
      <x:c r="F126" s="18"/>
      <x:c r="G126" s="18"/>
    </x:row>
    <x:row r="127">
      <x:c r="D127" s="18"/>
      <x:c r="E127" s="18"/>
      <x:c r="F127" s="18"/>
      <x:c r="G127" s="18"/>
    </x:row>
    <x:row r="128">
      <x:c r="D128" s="18"/>
      <x:c r="E128" s="18"/>
      <x:c r="F128" s="18"/>
      <x:c r="G128" s="18"/>
    </x:row>
    <x:row r="129">
      <x:c r="D129" s="18"/>
      <x:c r="E129" s="18"/>
      <x:c r="F129" s="18"/>
      <x:c r="G129" s="18"/>
    </x:row>
    <x:row r="130">
      <x:c r="D130" s="18"/>
      <x:c r="E130" s="18"/>
      <x:c r="F130" s="18"/>
      <x:c r="G130" s="18"/>
    </x:row>
    <x:row r="131">
      <x:c r="D131" s="18"/>
      <x:c r="E131" s="18"/>
      <x:c r="F131" s="18"/>
      <x:c r="G131" s="18"/>
    </x:row>
    <x:row r="132">
      <x:c r="D132" s="18"/>
      <x:c r="E132" s="18"/>
      <x:c r="F132" s="18"/>
      <x:c r="G132" s="18"/>
    </x:row>
    <x:row r="133">
      <x:c r="D133" s="18"/>
      <x:c r="E133" s="18"/>
      <x:c r="F133" s="18"/>
      <x:c r="G133" s="18"/>
    </x:row>
    <x:row r="134">
      <x:c r="D134" s="18"/>
      <x:c r="E134" s="18"/>
      <x:c r="F134" s="18"/>
      <x:c r="G134" s="18"/>
    </x:row>
    <x:row r="135">
      <x:c r="D135" s="18"/>
      <x:c r="E135" s="18"/>
      <x:c r="F135" s="18"/>
      <x:c r="G135" s="18"/>
    </x:row>
    <x:row r="136">
      <x:c r="D136" s="18"/>
      <x:c r="E136" s="18"/>
      <x:c r="F136" s="18"/>
      <x:c r="G136" s="18"/>
    </x:row>
    <x:row r="137">
      <x:c r="D137" s="18"/>
      <x:c r="E137" s="18"/>
      <x:c r="F137" s="18"/>
      <x:c r="G137" s="18"/>
    </x:row>
    <x:row r="138">
      <x:c r="D138" s="18"/>
      <x:c r="E138" s="18"/>
      <x:c r="F138" s="18"/>
      <x:c r="G138" s="18"/>
    </x:row>
    <x:row r="139">
      <x:c r="D139" s="18"/>
      <x:c r="E139" s="18"/>
      <x:c r="F139" s="18"/>
      <x:c r="G139" s="18"/>
    </x:row>
    <x:row r="140">
      <x:c r="D140" s="18"/>
      <x:c r="E140" s="18"/>
      <x:c r="F140" s="18"/>
      <x:c r="G140" s="18"/>
    </x:row>
    <x:row r="141">
      <x:c r="D141" s="18"/>
      <x:c r="E141" s="18"/>
      <x:c r="F141" s="18"/>
      <x:c r="G141" s="18"/>
    </x:row>
    <x:row r="142">
      <x:c r="D142" s="18"/>
      <x:c r="E142" s="18"/>
      <x:c r="F142" s="18"/>
      <x:c r="G142" s="18"/>
    </x:row>
    <x:row r="143">
      <x:c r="D143" s="18"/>
      <x:c r="E143" s="18"/>
      <x:c r="F143" s="18"/>
      <x:c r="G143" s="18"/>
    </x:row>
    <x:row r="144">
      <x:c r="D144" s="18"/>
      <x:c r="E144" s="18"/>
      <x:c r="F144" s="18"/>
      <x:c r="G144" s="18"/>
    </x:row>
    <x:row r="145">
      <x:c r="D145" s="18"/>
      <x:c r="E145" s="18"/>
      <x:c r="F145" s="18"/>
      <x:c r="G145" s="18"/>
    </x:row>
    <x:row r="146">
      <x:c r="D146" s="18"/>
      <x:c r="E146" s="18"/>
      <x:c r="F146" s="18"/>
      <x:c r="G146" s="18"/>
    </x:row>
    <x:row r="147">
      <x:c r="D147" s="18"/>
      <x:c r="E147" s="18"/>
      <x:c r="F147" s="18"/>
      <x:c r="G147" s="18"/>
    </x:row>
    <x:row r="148">
      <x:c r="D148" s="18"/>
      <x:c r="E148" s="18"/>
      <x:c r="F148" s="18"/>
      <x:c r="G148" s="18"/>
    </x:row>
    <x:row r="149">
      <x:c r="D149" s="18"/>
      <x:c r="E149" s="18"/>
      <x:c r="F149" s="18"/>
      <x:c r="G149" s="18"/>
    </x:row>
    <x:row r="150">
      <x:c r="D150" s="18"/>
      <x:c r="E150" s="18"/>
      <x:c r="F150" s="18"/>
      <x:c r="G150" s="18"/>
    </x:row>
    <x:row r="151">
      <x:c r="D151" s="18"/>
      <x:c r="E151" s="18"/>
      <x:c r="F151" s="18"/>
      <x:c r="G151" s="18"/>
    </x:row>
    <x:row r="152">
      <x:c r="D152" s="18"/>
      <x:c r="E152" s="18"/>
      <x:c r="F152" s="18"/>
      <x:c r="G152" s="18"/>
    </x:row>
    <x:row r="153">
      <x:c r="D153" s="18"/>
      <x:c r="E153" s="18"/>
      <x:c r="F153" s="18"/>
      <x:c r="G153" s="18"/>
    </x:row>
    <x:row r="154">
      <x:c r="D154" s="18"/>
      <x:c r="E154" s="18"/>
      <x:c r="F154" s="18"/>
      <x:c r="G154" s="18"/>
    </x:row>
    <x:row r="155">
      <x:c r="D155" s="18"/>
      <x:c r="E155" s="18"/>
      <x:c r="F155" s="18"/>
      <x:c r="G155" s="18"/>
    </x:row>
    <x:row r="156">
      <x:c r="D156" s="18"/>
      <x:c r="E156" s="18"/>
      <x:c r="F156" s="18"/>
      <x:c r="G156" s="18"/>
    </x:row>
    <x:row r="157">
      <x:c r="D157" s="18"/>
      <x:c r="E157" s="18"/>
      <x:c r="F157" s="18"/>
      <x:c r="G157" s="18"/>
    </x:row>
    <x:row r="158">
      <x:c r="D158" s="18"/>
      <x:c r="E158" s="18"/>
      <x:c r="F158" s="18"/>
      <x:c r="G158" s="18"/>
    </x:row>
    <x:row r="159">
      <x:c r="D159" s="18"/>
      <x:c r="E159" s="18"/>
      <x:c r="F159" s="18"/>
      <x:c r="G159" s="18"/>
    </x:row>
    <x:row r="160">
      <x:c r="D160" s="18"/>
      <x:c r="E160" s="18"/>
      <x:c r="F160" s="18"/>
      <x:c r="G160" s="18"/>
    </x:row>
    <x:row r="161">
      <x:c r="D161" s="18"/>
      <x:c r="E161" s="18"/>
      <x:c r="F161" s="18"/>
      <x:c r="G161" s="18"/>
    </x:row>
    <x:row r="162">
      <x:c r="D162" s="18"/>
      <x:c r="E162" s="18"/>
      <x:c r="F162" s="18"/>
      <x:c r="G162" s="18"/>
    </x:row>
    <x:row r="163">
      <x:c r="D163" s="18"/>
      <x:c r="E163" s="18"/>
      <x:c r="F163" s="18"/>
      <x:c r="G163" s="18"/>
    </x:row>
    <x:row r="164">
      <x:c r="D164" s="18"/>
      <x:c r="E164" s="18"/>
      <x:c r="F164" s="18"/>
      <x:c r="G164" s="18"/>
    </x:row>
    <x:row r="165">
      <x:c r="D165" s="18"/>
      <x:c r="E165" s="18"/>
      <x:c r="F165" s="18"/>
      <x:c r="G165" s="18"/>
    </x:row>
    <x:row r="166">
      <x:c r="D166" s="18"/>
      <x:c r="E166" s="18"/>
      <x:c r="F166" s="18"/>
      <x:c r="G166" s="18"/>
    </x:row>
    <x:row r="167">
      <x:c r="D167" s="18"/>
      <x:c r="E167" s="18"/>
      <x:c r="F167" s="18"/>
      <x:c r="G167" s="18"/>
    </x:row>
    <x:row r="168">
      <x:c r="D168" s="18"/>
      <x:c r="E168" s="18"/>
      <x:c r="F168" s="18"/>
      <x:c r="G168" s="18"/>
    </x:row>
    <x:row r="169">
      <x:c r="D169" s="18"/>
      <x:c r="E169" s="18"/>
      <x:c r="F169" s="18"/>
      <x:c r="G169" s="18"/>
    </x:row>
    <x:row r="170">
      <x:c r="D170" s="18"/>
      <x:c r="E170" s="18"/>
      <x:c r="F170" s="18"/>
      <x:c r="G170" s="18"/>
    </x:row>
    <x:row r="171">
      <x:c r="D171" s="18"/>
      <x:c r="E171" s="18"/>
      <x:c r="F171" s="18"/>
      <x:c r="G171" s="18"/>
    </x:row>
    <x:row r="172">
      <x:c r="D172" s="18"/>
      <x:c r="E172" s="18"/>
      <x:c r="F172" s="18"/>
      <x:c r="G172" s="18"/>
    </x:row>
    <x:row r="173">
      <x:c r="D173" s="18"/>
      <x:c r="E173" s="18"/>
      <x:c r="F173" s="18"/>
      <x:c r="G173" s="18"/>
    </x:row>
    <x:row r="174">
      <x:c r="D174" s="18"/>
      <x:c r="E174" s="18"/>
      <x:c r="F174" s="18"/>
      <x:c r="G174" s="18"/>
    </x:row>
    <x:row r="175">
      <x:c r="D175" s="18"/>
      <x:c r="E175" s="18"/>
      <x:c r="F175" s="18"/>
      <x:c r="G175" s="18"/>
    </x:row>
    <x:row r="176">
      <x:c r="D176" s="18"/>
      <x:c r="E176" s="18"/>
      <x:c r="F176" s="18"/>
      <x:c r="G176" s="18"/>
    </x:row>
    <x:row r="177">
      <x:c r="D177" s="18"/>
      <x:c r="E177" s="18"/>
      <x:c r="F177" s="18"/>
      <x:c r="G177" s="18"/>
    </x:row>
    <x:row r="178">
      <x:c r="D178" s="18"/>
      <x:c r="E178" s="18"/>
      <x:c r="F178" s="18"/>
      <x:c r="G178" s="18"/>
    </x:row>
    <x:row r="179">
      <x:c r="D179" s="18"/>
      <x:c r="E179" s="18"/>
      <x:c r="F179" s="18"/>
      <x:c r="G179" s="18"/>
    </x:row>
    <x:row r="180">
      <x:c r="D180" s="18"/>
      <x:c r="E180" s="18"/>
      <x:c r="F180" s="18"/>
      <x:c r="G180" s="18"/>
    </x:row>
    <x:row r="181">
      <x:c r="D181" s="18"/>
      <x:c r="E181" s="18"/>
      <x:c r="F181" s="18"/>
      <x:c r="G181" s="18"/>
    </x:row>
    <x:row r="182">
      <x:c r="D182" s="18"/>
      <x:c r="E182" s="18"/>
      <x:c r="F182" s="18"/>
      <x:c r="G182" s="18"/>
    </x:row>
    <x:row r="183">
      <x:c r="D183" s="18"/>
      <x:c r="E183" s="18"/>
      <x:c r="F183" s="18"/>
      <x:c r="G183" s="18"/>
    </x:row>
    <x:row r="184">
      <x:c r="D184" s="18"/>
      <x:c r="E184" s="18"/>
      <x:c r="F184" s="18"/>
      <x:c r="G184" s="18"/>
    </x:row>
    <x:row r="185">
      <x:c r="D185" s="18"/>
      <x:c r="E185" s="18"/>
      <x:c r="F185" s="18"/>
      <x:c r="G185" s="18"/>
    </x:row>
    <x:row r="186">
      <x:c r="D186" s="18"/>
      <x:c r="E186" s="18"/>
      <x:c r="F186" s="18"/>
      <x:c r="G186" s="18"/>
    </x:row>
    <x:row r="187">
      <x:c r="D187" s="18"/>
      <x:c r="E187" s="18"/>
      <x:c r="F187" s="18"/>
      <x:c r="G187" s="18"/>
    </x:row>
    <x:row r="188">
      <x:c r="D188" s="18"/>
      <x:c r="E188" s="18"/>
      <x:c r="F188" s="18"/>
      <x:c r="G188" s="18"/>
    </x:row>
    <x:row r="189">
      <x:c r="D189" s="18"/>
      <x:c r="E189" s="18"/>
      <x:c r="F189" s="18"/>
      <x:c r="G189" s="18"/>
    </x:row>
    <x:row r="190">
      <x:c r="D190" s="18"/>
      <x:c r="E190" s="18"/>
      <x:c r="F190" s="18"/>
      <x:c r="G190" s="18"/>
    </x:row>
    <x:row r="191">
      <x:c r="D191" s="18"/>
      <x:c r="E191" s="18"/>
      <x:c r="F191" s="18"/>
      <x:c r="G191" s="18"/>
    </x:row>
    <x:row r="192">
      <x:c r="D192" s="18"/>
      <x:c r="E192" s="18"/>
      <x:c r="F192" s="18"/>
      <x:c r="G192" s="18"/>
    </x:row>
    <x:row r="193">
      <x:c r="D193" s="18"/>
      <x:c r="E193" s="18"/>
      <x:c r="F193" s="18"/>
      <x:c r="G193" s="18"/>
    </x:row>
    <x:row r="194">
      <x:c r="D194" s="18"/>
      <x:c r="E194" s="18"/>
      <x:c r="F194" s="18"/>
      <x:c r="G194" s="18"/>
    </x:row>
    <x:row r="195">
      <x:c r="D195" s="18"/>
      <x:c r="E195" s="18"/>
      <x:c r="F195" s="18"/>
      <x:c r="G195" s="18"/>
    </x:row>
    <x:row r="196">
      <x:c r="D196" s="18"/>
      <x:c r="E196" s="18"/>
      <x:c r="F196" s="18"/>
      <x:c r="G196" s="18"/>
    </x:row>
    <x:row r="197">
      <x:c r="D197" s="18"/>
      <x:c r="E197" s="18"/>
      <x:c r="F197" s="18"/>
      <x:c r="G197" s="18"/>
    </x:row>
    <x:row r="198">
      <x:c r="D198" s="18"/>
      <x:c r="E198" s="18"/>
      <x:c r="F198" s="18"/>
      <x:c r="G198" s="18"/>
    </x:row>
    <x:row r="199">
      <x:c r="D199" s="18"/>
      <x:c r="E199" s="18"/>
      <x:c r="F199" s="18"/>
      <x:c r="G199" s="18"/>
    </x:row>
    <x:row r="200">
      <x:c r="D200" s="18"/>
      <x:c r="E200" s="18"/>
      <x:c r="F200" s="18"/>
      <x:c r="G200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>
      <x:c r="A1" s="16" t="str">
        <x:v>tier</x:v>
      </x:c>
      <x:c r="B1" s="16" t="str">
        <x:v>plan_count_2025Q4</x:v>
      </x:c>
      <x:c r="C1" s="16" t="str">
        <x:v>plan_count_2026Q1</x:v>
      </x:c>
      <x:c r="D1" s="16" t="str">
        <x:v>plan_count_delta</x:v>
      </x:c>
      <x:c r="E1" s="16" t="str">
        <x:v>linked_formulary_ndc_rows_2025Q4</x:v>
      </x:c>
      <x:c r="F1" s="16" t="str">
        <x:v>linked_formulary_ndc_rows_2026Q1</x:v>
      </x:c>
      <x:c r="G1" s="16" t="str">
        <x:v>linked_formulary_ndc_rows_delta</x:v>
      </x:c>
      <x:c r="H1" s="16" t="str">
        <x:v>median_plan_pref_cost_amt_2025Q4</x:v>
      </x:c>
      <x:c r="I1" s="16" t="str">
        <x:v>median_plan_pref_cost_amt_2026Q1</x:v>
      </x:c>
      <x:c r="J1" s="16" t="str">
        <x:v>median_plan_pref_cost_amt_delta</x:v>
      </x:c>
      <x:c r="K1" s="16" t="str">
        <x:v>mean_plan_ded_applies_share_2025Q4</x:v>
      </x:c>
      <x:c r="L1" s="16" t="str">
        <x:v>mean_plan_ded_applies_share_2026Q1</x:v>
      </x:c>
      <x:c r="M1" s="16" t="str">
        <x:v>mean_plan_ded_applies_share_delta</x:v>
      </x:c>
    </x:row>
    <x:row r="2">
      <x:c r="A2" t="n">
        <x:v>1</x:v>
      </x:c>
      <x:c r="B2" t="n">
        <x:v>5631</x:v>
      </x:c>
      <x:c r="C2" t="n">
        <x:v>5514</x:v>
      </x:c>
      <x:c r="D2" t="n">
        <x:v>-117</x:v>
      </x:c>
      <x:c r="E2" t="n">
        <x:v>3178137</x:v>
      </x:c>
      <x:c r="F2" t="n">
        <x:v>2708497</x:v>
      </x:c>
      <x:c r="G2" t="n">
        <x:v>-469640</x:v>
      </x:c>
      <x:c r="H2" t="n">
        <x:v>0</x:v>
      </x:c>
      <x:c r="I2" t="n">
        <x:v>0</x:v>
      </x:c>
      <x:c r="J2" s="20" t="n">
        <x:v>0</x:v>
      </x:c>
      <x:c r="K2" s="22" t="n">
        <x:v>0.227668</x:v>
      </x:c>
      <x:c r="L2" s="22" t="n">
        <x:v>0.133478</x:v>
      </x:c>
      <x:c r="M2" s="22" t="n">
        <x:v>-0.09419</x:v>
      </x:c>
    </x:row>
    <x:row r="3">
      <x:c r="A3" t="n">
        <x:v>2</x:v>
      </x:c>
      <x:c r="B3" t="n">
        <x:v>5359</x:v>
      </x:c>
      <x:c r="C3" t="n">
        <x:v>5350</x:v>
      </x:c>
      <x:c r="D3" t="n">
        <x:v>-9</x:v>
      </x:c>
      <x:c r="E3" t="n">
        <x:v>4274125</x:v>
      </x:c>
      <x:c r="F3" t="n">
        <x:v>4081351</x:v>
      </x:c>
      <x:c r="G3" t="n">
        <x:v>-192774</x:v>
      </x:c>
      <x:c r="H3" t="n">
        <x:v>0</x:v>
      </x:c>
      <x:c r="I3" t="n">
        <x:v>0</x:v>
      </x:c>
      <x:c r="J3" s="20" t="n">
        <x:v>0</x:v>
      </x:c>
      <x:c r="K3" s="22" t="n">
        <x:v>0.213286</x:v>
      </x:c>
      <x:c r="L3" s="22" t="n">
        <x:v>0.216449</x:v>
      </x:c>
      <x:c r="M3" s="22" t="n">
        <x:v>0.003163</x:v>
      </x:c>
    </x:row>
    <x:row r="4">
      <x:c r="A4" t="n">
        <x:v>3</x:v>
      </x:c>
      <x:c r="B4" t="n">
        <x:v>5354</x:v>
      </x:c>
      <x:c r="C4" t="n">
        <x:v>5348</x:v>
      </x:c>
      <x:c r="D4" t="n">
        <x:v>-6</x:v>
      </x:c>
      <x:c r="E4" t="n">
        <x:v>3556321</x:v>
      </x:c>
      <x:c r="F4" t="n">
        <x:v>3585091</x:v>
      </x:c>
      <x:c r="G4" t="n">
        <x:v>28770</x:v>
      </x:c>
      <x:c r="H4" t="n">
        <x:v>0</x:v>
      </x:c>
      <x:c r="I4" t="n">
        <x:v>0</x:v>
      </x:c>
      <x:c r="J4" s="20" t="n">
        <x:v>0</x:v>
      </x:c>
      <x:c r="K4" s="22" t="n">
        <x:v>0.641576</x:v>
      </x:c>
      <x:c r="L4" s="22" t="n">
        <x:v>0.804787</x:v>
      </x:c>
      <x:c r="M4" s="22" t="n">
        <x:v>0.163211</x:v>
      </x:c>
    </x:row>
    <x:row r="5">
      <x:c r="A5" t="n">
        <x:v>4</x:v>
      </x:c>
      <x:c r="B5" t="n">
        <x:v>5331</x:v>
      </x:c>
      <x:c r="C5" t="n">
        <x:v>5348</x:v>
      </x:c>
      <x:c r="D5" t="n">
        <x:v>17</x:v>
      </x:c>
      <x:c r="E5" t="n">
        <x:v>4391056</x:v>
      </x:c>
      <x:c r="F5" t="n">
        <x:v>4282776</x:v>
      </x:c>
      <x:c r="G5" t="n">
        <x:v>-108280</x:v>
      </x:c>
      <x:c r="H5" t="n">
        <x:v>0</x:v>
      </x:c>
      <x:c r="I5" t="n">
        <x:v>0</x:v>
      </x:c>
      <x:c r="J5" s="20" t="n">
        <x:v>0</x:v>
      </x:c>
      <x:c r="K5" s="22" t="n">
        <x:v>0.674545</x:v>
      </x:c>
      <x:c r="L5" s="22" t="n">
        <x:v>0.859761</x:v>
      </x:c>
      <x:c r="M5" s="22" t="n">
        <x:v>0.185216</x:v>
      </x:c>
    </x:row>
    <x:row r="6">
      <x:c r="A6" t="n">
        <x:v>5</x:v>
      </x:c>
      <x:c r="B6" t="n">
        <x:v>5301</x:v>
      </x:c>
      <x:c r="C6" t="n">
        <x:v>5319</x:v>
      </x:c>
      <x:c r="D6" t="n">
        <x:v>18</x:v>
      </x:c>
      <x:c r="E6" t="n">
        <x:v>4097057</x:v>
      </x:c>
      <x:c r="F6" t="n">
        <x:v>3980972</x:v>
      </x:c>
      <x:c r="G6" t="n">
        <x:v>-116085</x:v>
      </x:c>
      <x:c r="H6" t="n">
        <x:v>0</x:v>
      </x:c>
      <x:c r="I6" t="n">
        <x:v>0</x:v>
      </x:c>
      <x:c r="J6" s="20" t="n">
        <x:v>0</x:v>
      </x:c>
      <x:c r="K6" s="22" t="n">
        <x:v>0.67591</x:v>
      </x:c>
      <x:c r="L6" s="22" t="n">
        <x:v>0.862568</x:v>
      </x:c>
      <x:c r="M6" s="22" t="n">
        <x:v>0.186658</x:v>
      </x:c>
    </x:row>
    <x:row r="7">
      <x:c r="A7" t="n">
        <x:v>6</x:v>
      </x:c>
      <x:c r="B7" t="n">
        <x:v>1157</x:v>
      </x:c>
      <x:c r="C7" t="n">
        <x:v>1497</x:v>
      </x:c>
      <x:c r="D7" t="n">
        <x:v>340</x:v>
      </x:c>
      <x:c r="E7" t="n">
        <x:v>210523</x:v>
      </x:c>
      <x:c r="F7" t="n">
        <x:v>259058</x:v>
      </x:c>
      <x:c r="G7" t="n">
        <x:v>48535</x:v>
      </x:c>
      <x:c r="H7" t="n">
        <x:v>0</x:v>
      </x:c>
      <x:c r="I7" t="n">
        <x:v>0</x:v>
      </x:c>
      <x:c r="J7" s="20" t="n">
        <x:v>0</x:v>
      </x:c>
      <x:c r="K7" s="22" t="n">
        <x:v>0.099395</x:v>
      </x:c>
      <x:c r="L7" s="22" t="n">
        <x:v>0.045424</x:v>
      </x:c>
      <x:c r="M7" s="22" t="n">
        <x:v>-0.053971</x:v>
      </x:c>
    </x:row>
    <x:row r="8">
      <x:c r="A8" t="n">
        <x:v>7</x:v>
      </x:c>
      <x:c r="B8" t="n">
        <x:v>16</x:v>
      </x:c>
      <x:c r="C8" t="n">
        <x:v>20</x:v>
      </x:c>
      <x:c r="D8" t="n">
        <x:v>4</x:v>
      </x:c>
      <x:c r="E8" t="n">
        <x:v>208</x:v>
      </x:c>
      <x:c r="F8" t="n">
        <x:v>380</x:v>
      </x:c>
      <x:c r="G8" t="n">
        <x:v>172</x:v>
      </x:c>
      <x:c r="H8" t="n">
        <x:v>0</x:v>
      </x:c>
      <x:c r="I8" t="n">
        <x:v>0</x:v>
      </x:c>
      <x:c r="J8" s="20" t="n">
        <x:v>0</x:v>
      </x:c>
      <x:c r="K8" s="22" t="n">
        <x:v>0.375</x:v>
      </x:c>
      <x:c r="L8" s="22" t="n">
        <x:v>0.4</x:v>
      </x:c>
      <x:c r="M8" s="22" t="n">
        <x:v>0.025</x:v>
      </x:c>
    </x:row>
    <x:row r="9">
      <x:c r="J9" s="20"/>
      <x:c r="K9" s="22"/>
      <x:c r="L9" s="22"/>
      <x:c r="M9" s="22"/>
    </x:row>
    <x:row r="10">
      <x:c r="J10" s="20"/>
      <x:c r="K10" s="22"/>
      <x:c r="L10" s="22"/>
      <x:c r="M10" s="22"/>
    </x:row>
    <x:row r="11">
      <x:c r="J11" s="20"/>
      <x:c r="K11" s="22"/>
      <x:c r="L11" s="22"/>
      <x:c r="M11" s="22"/>
    </x:row>
    <x:row r="12">
      <x:c r="J12" s="20"/>
      <x:c r="K12" s="22"/>
      <x:c r="L12" s="22"/>
      <x:c r="M12" s="22"/>
    </x:row>
    <x:row r="13">
      <x:c r="J13" s="20"/>
      <x:c r="K13" s="22"/>
      <x:c r="L13" s="22"/>
      <x:c r="M13" s="22"/>
    </x:row>
    <x:row r="14">
      <x:c r="J14" s="20"/>
      <x:c r="K14" s="22"/>
      <x:c r="L14" s="22"/>
      <x:c r="M14" s="22"/>
    </x:row>
    <x:row r="15">
      <x:c r="J15" s="20"/>
      <x:c r="K15" s="22"/>
      <x:c r="L15" s="22"/>
      <x:c r="M15" s="22"/>
    </x:row>
    <x:row r="16">
      <x:c r="J16" s="20"/>
      <x:c r="K16" s="22"/>
      <x:c r="L16" s="22"/>
      <x:c r="M16" s="22"/>
    </x:row>
    <x:row r="17">
      <x:c r="J17" s="20"/>
      <x:c r="K17" s="22"/>
      <x:c r="L17" s="22"/>
      <x:c r="M17" s="22"/>
    </x:row>
    <x:row r="18">
      <x:c r="J18" s="20"/>
      <x:c r="K18" s="22"/>
      <x:c r="L18" s="22"/>
      <x:c r="M18" s="22"/>
    </x:row>
    <x:row r="19">
      <x:c r="J19" s="20"/>
      <x:c r="K19" s="22"/>
      <x:c r="L19" s="22"/>
      <x:c r="M19" s="22"/>
    </x:row>
    <x:row r="20">
      <x:c r="J20" s="20"/>
      <x:c r="K20" s="22"/>
      <x:c r="L20" s="22"/>
      <x:c r="M20" s="22"/>
    </x:row>
    <x:row r="21">
      <x:c r="J21" s="20"/>
      <x:c r="K21" s="22"/>
      <x:c r="L21" s="22"/>
      <x:c r="M21" s="22"/>
    </x:row>
    <x:row r="22">
      <x:c r="J22" s="20"/>
      <x:c r="K22" s="22"/>
      <x:c r="L22" s="22"/>
      <x:c r="M22" s="22"/>
    </x:row>
    <x:row r="23">
      <x:c r="J23" s="20"/>
      <x:c r="K23" s="22"/>
      <x:c r="L23" s="22"/>
      <x:c r="M23" s="22"/>
    </x:row>
    <x:row r="24">
      <x:c r="J24" s="20"/>
      <x:c r="K24" s="22"/>
      <x:c r="L24" s="22"/>
      <x:c r="M24" s="22"/>
    </x:row>
    <x:row r="25">
      <x:c r="J25" s="20"/>
      <x:c r="K25" s="22"/>
      <x:c r="L25" s="22"/>
      <x:c r="M25" s="22"/>
    </x:row>
    <x:row r="26">
      <x:c r="J26" s="20"/>
      <x:c r="K26" s="22"/>
      <x:c r="L26" s="22"/>
      <x:c r="M26" s="22"/>
    </x:row>
    <x:row r="27">
      <x:c r="J27" s="20"/>
      <x:c r="K27" s="22"/>
      <x:c r="L27" s="22"/>
      <x:c r="M27" s="22"/>
    </x:row>
    <x:row r="28">
      <x:c r="J28" s="20"/>
      <x:c r="K28" s="22"/>
      <x:c r="L28" s="22"/>
      <x:c r="M28" s="22"/>
    </x:row>
    <x:row r="29">
      <x:c r="J29" s="20"/>
      <x:c r="K29" s="22"/>
      <x:c r="L29" s="22"/>
      <x:c r="M29" s="22"/>
    </x:row>
    <x:row r="30">
      <x:c r="J30" s="20"/>
      <x:c r="K30" s="22"/>
      <x:c r="L30" s="22"/>
      <x:c r="M30" s="22"/>
    </x:row>
  </x:sheetData>
  <x:pageMargins left="0.7" right="0.7" top="0.75" bottom="0.75" header="0.3" footer="0.3"/>
  <x:drawing xmlns:r="http://schemas.openxmlformats.org/officeDocument/2006/relationships" r:id="R36af01eeef7c425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999938964844" hidden="0" customWidth="1"/>
    <x:col min="2" max="2" width="32.13999938964844" hidden="0" customWidth="1"/>
    <x:col min="3" max="3" width="32.13999938964844" hidden="0" customWidth="1"/>
    <x:col min="4" max="4" width="32.13999938964844" hidden="0" customWidth="1"/>
    <x:col min="5" max="5" width="32.13999938964844" hidden="0" customWidth="1"/>
    <x:col min="6" max="6" width="32.13999938964844" hidden="0" customWidth="1"/>
    <x:col min="7" max="7" width="32.13999938964844" hidden="0" customWidth="1"/>
    <x:col min="8" max="8" width="32.13999938964844" hidden="0" customWidth="1"/>
  </x:cols>
  <x:sheetData>
    <x:row r="1">
      <x:c r="A1" s="16" t="str">
        <x:v>Theme</x:v>
      </x:c>
      <x:c r="B1" s="16" t="str">
        <x:v>Best Format</x:v>
      </x:c>
      <x:c r="C1" s="16" t="str">
        <x:v>Category</x:v>
      </x:c>
      <x:c r="D1" s="16" t="str">
        <x:v>Evidence Strength</x:v>
      </x:c>
      <x:c r="E1" s="16" t="str">
        <x:v>Commercial Relevance</x:v>
      </x:c>
      <x:c r="F1" s="16" t="str">
        <x:v>Overclaim Risk</x:v>
      </x:c>
      <x:c r="G1" s="16" t="str">
        <x:v>Primary Visual</x:v>
      </x:c>
      <x:c r="H1" s="16" t="str">
        <x:v>Recommendation</x:v>
      </x:c>
    </x:row>
    <x:row r="2">
      <x:c r="A2" s="24" t="str">
        <x:v>Repricing vs churn in Part D</x:v>
      </x:c>
      <x:c r="B2" s="24" t="str">
        <x:v>Research</x:v>
      </x:c>
      <x:c r="C2" s="24" t="str">
        <x:v>Healthcare Data Analysis</x:v>
      </x:c>
      <x:c r="D2" s="24" t="str">
        <x:v>High</x:v>
      </x:c>
      <x:c r="E2" s="24" t="str">
        <x:v>High</x:v>
      </x:c>
      <x:c r="F2" s="24" t="str">
        <x:v>Medium</x:v>
      </x:c>
      <x:c r="G2" s="24" t="str">
        <x:v>Waterfall decomposition</x:v>
      </x:c>
      <x:c r="H2" s="24" t="str">
        <x:v>Publish first as flagship research</x:v>
      </x:c>
    </x:row>
    <x:row r="3">
      <x:c r="A3" s="24" t="str">
        <x:v>Generic access friction despite stable same-NDC pricing</x:v>
      </x:c>
      <x:c r="B3" s="24" t="str">
        <x:v>Research</x:v>
      </x:c>
      <x:c r="C3" s="24" t="str">
        <x:v>Biosimilars and Generics</x:v>
      </x:c>
      <x:c r="D3" s="24" t="str">
        <x:v>High</x:v>
      </x:c>
      <x:c r="E3" s="24" t="str">
        <x:v>High</x:v>
      </x:c>
      <x:c r="F3" s="24" t="str">
        <x:v>Medium</x:v>
      </x:c>
      <x:c r="G3" s="24" t="str">
        <x:v>Scatter + product table</x:v>
      </x:c>
      <x:c r="H3" s="24" t="str">
        <x:v>Publish second with strong caveat panel</x:v>
      </x:c>
    </x:row>
    <x:row r="4">
      <x:c r="A4" s="24" t="str">
        <x:v>Sponsor behavioral clustering</x:v>
      </x:c>
      <x:c r="B4" s="24" t="str">
        <x:v>Insight</x:v>
      </x:c>
      <x:c r="C4" s="24" t="str">
        <x:v>PBM and Formulary Dynamics</x:v>
      </x:c>
      <x:c r="D4" s="24" t="str">
        <x:v>High</x:v>
      </x:c>
      <x:c r="E4" s="24" t="str">
        <x:v>High</x:v>
      </x:c>
      <x:c r="F4" s="24" t="str">
        <x:v>Medium</x:v>
      </x:c>
      <x:c r="G4" s="24" t="str">
        <x:v>2x2 cluster plot</x:v>
      </x:c>
      <x:c r="H4" s="24" t="str">
        <x:v>Publish as high-signal insight</x:v>
      </x:c>
    </x:row>
    <x:row r="5">
      <x:c r="A5" s="24" t="str">
        <x:v>Generic coverage contraction signals</x:v>
      </x:c>
      <x:c r="B5" s="24" t="str">
        <x:v>Insight</x:v>
      </x:c>
      <x:c r="C5" s="24" t="str">
        <x:v>Market Access Strategy</x:v>
      </x:c>
      <x:c r="D5" s="24" t="str">
        <x:v>Medium-High</x:v>
      </x:c>
      <x:c r="E5" s="24" t="str">
        <x:v>High</x:v>
      </x:c>
      <x:c r="F5" s="24" t="str">
        <x:v>Medium</x:v>
      </x:c>
      <x:c r="G5" s="24" t="str">
        <x:v>Added vs dropped bars</x:v>
      </x:c>
      <x:c r="H5" s="24" t="str">
        <x:v>Publish with artifact controls</x:v>
      </x:c>
    </x:row>
    <x:row r="6">
      <x:c r="A6" s="24" t="str">
        <x:v>PBM network/channel fingerprints</x:v>
      </x:c>
      <x:c r="B6" s="24" t="str">
        <x:v>Insight</x:v>
      </x:c>
      <x:c r="C6" s="24" t="str">
        <x:v>PBM and Formulary Dynamics</x:v>
      </x:c>
      <x:c r="D6" s="24" t="str">
        <x:v>Medium</x:v>
      </x:c>
      <x:c r="E6" s="24" t="str">
        <x:v>High</x:v>
      </x:c>
      <x:c r="F6" s="24" t="str">
        <x:v>Low-Medium</x:v>
      </x:c>
      <x:c r="G6" s="24" t="str">
        <x:v>Heatmap by PBM and plan type</x:v>
      </x:c>
      <x:c r="H6" s="24" t="str">
        <x:v>Publish as cross-sectional profile</x:v>
      </x:c>
    </x:row>
  </x:sheetData>
  <x:pageMargins left="0.7" right="0.7" top="0.75" bottom="0.75" header="0.3" footer="0.3"/>
</x:worksheet>
</file>